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40" windowHeight="12860" activeTab="4"/>
  </bookViews>
  <sheets>
    <sheet name="说明与总览" sheetId="1" r:id="rId1"/>
    <sheet name="①人口-Logistic" sheetId="2" r:id="rId2"/>
    <sheet name="②食物链-LotkaVolterra" sheetId="3" r:id="rId3"/>
    <sheet name="③疾病-SIR" sheetId="4" r:id="rId4"/>
    <sheet name="④种族对比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<sst xmlns="http://schemas.openxmlformats.org/spreadsheetml/2006/main" count="104" uniqueCount="92">
  <si>
    <t>种族生态沙盒 · 数值推演表</t>
  </si>
  <si>
    <t>改动黄色参数格，右侧曲线会自动重算。用它在做游戏前先把数值手感调出来。</t>
  </si>
  <si>
    <t>工作表</t>
  </si>
  <si>
    <t>模型</t>
  </si>
  <si>
    <t>用途 / 看什么</t>
  </si>
  <si>
    <t>① 人口-Logistic</t>
  </si>
  <si>
    <t>Logistic 增长</t>
  </si>
  <si>
    <t>看种群 S 型增长与环境容量 K 的封顶；可模拟旱灾压低 K</t>
  </si>
  <si>
    <t>② 食物链-LotkaVolterra</t>
  </si>
  <si>
    <t>捕食者-猎物方程</t>
  </si>
  <si>
    <t>看猎物与小人的周期性振荡，理解'吃光-饿死-恢复'</t>
  </si>
  <si>
    <t>③ 疾病-SIR</t>
  </si>
  <si>
    <t>SIR 传染病模型</t>
  </si>
  <si>
    <t>看瘟疫爆发曲线；调 β/γ/μ 观察 R0 与灭族风险</t>
  </si>
  <si>
    <t>④ 种族对比</t>
  </si>
  <si>
    <t>Logistic + SIR</t>
  </si>
  <si>
    <t>四族并排：人口增长曲线 + 同一场瘟疫下的分化</t>
  </si>
  <si>
    <t>三个最该反复调的参数</t>
  </si>
  <si>
    <t>r (繁殖率)</t>
  </si>
  <si>
    <t>决定人口爬升速度与振荡剧烈程度</t>
  </si>
  <si>
    <t>R0 = β/(γ+μ)</t>
  </si>
  <si>
    <t>瘟疫灵魂：1.5~2.5 最有戏剧性</t>
  </si>
  <si>
    <t>a,b,c,d (食物链)</t>
  </si>
  <si>
    <t>决定振荡周期与幅度，平衡点 x*=c/d, y*=a/b</t>
  </si>
  <si>
    <t>① 人口增长模型（Logistic）</t>
  </si>
  <si>
    <t>N0 初始人口</t>
  </si>
  <si>
    <t>起始个体数</t>
  </si>
  <si>
    <t>day</t>
  </si>
  <si>
    <t>N 人口</t>
  </si>
  <si>
    <t>K 当前</t>
  </si>
  <si>
    <t>ΔN</t>
  </si>
  <si>
    <t>r 增长率/日</t>
  </si>
  <si>
    <t>0.01~0.1，越大爬升越快</t>
  </si>
  <si>
    <t>K 环境容量</t>
  </si>
  <si>
    <t>领地×肥沃度×食物 决定的上限</t>
  </si>
  <si>
    <t>K旱灾后</t>
  </si>
  <si>
    <t>灾害事件后的新容量</t>
  </si>
  <si>
    <t>旱灾发生日</t>
  </si>
  <si>
    <t>到该天 K 突降</t>
  </si>
  <si>
    <t>模型：N(t+1)=N(t)+r·N·(1-N/K)。第120天 K 从2000降到800，人口先冲顶再回落到新容量。</t>
  </si>
  <si>
    <t>② 食物链模型（Lotka–Volterra）</t>
  </si>
  <si>
    <t>X0 猎物初值</t>
  </si>
  <si>
    <t>食草动物/植被</t>
  </si>
  <si>
    <t>X 猎物</t>
  </si>
  <si>
    <t>Y 小人</t>
  </si>
  <si>
    <t>Y0 小人初值</t>
  </si>
  <si>
    <t>捕食者(小人)</t>
  </si>
  <si>
    <t>a 猎物繁殖</t>
  </si>
  <si>
    <t>猎物自然增长</t>
  </si>
  <si>
    <t>b 被捕食系数</t>
  </si>
  <si>
    <t>被小人吃掉的速率</t>
  </si>
  <si>
    <t>c 小人死亡</t>
  </si>
  <si>
    <t>无食物时小人衰减</t>
  </si>
  <si>
    <t>d 捕食转化</t>
  </si>
  <si>
    <t>吃猎物转化为繁殖</t>
  </si>
  <si>
    <t>dt 步长</t>
  </si>
  <si>
    <t>0.3~0.5，过大易发散</t>
  </si>
  <si>
    <t>平衡点：X*=c/d=100, Y*=a/b=50。初值偏离平衡点即产生振荡：猎物多→小人增→吃光→饿死→恢复。</t>
  </si>
  <si>
    <t>③ 传染病模型（SIR）</t>
  </si>
  <si>
    <t>N 总人口</t>
  </si>
  <si>
    <t>S+I+R</t>
  </si>
  <si>
    <t>S 易感</t>
  </si>
  <si>
    <t>I 感染</t>
  </si>
  <si>
    <t>R 康复</t>
  </si>
  <si>
    <t>累计死亡</t>
  </si>
  <si>
    <t>I0 初始感染</t>
  </si>
  <si>
    <t>投放瘟疫的起始病例</t>
  </si>
  <si>
    <t>β 传染率/日</t>
  </si>
  <si>
    <t>受密度/卫生/抗性影响</t>
  </si>
  <si>
    <t>γ 康复率/日</t>
  </si>
  <si>
    <t>1/病程，0.1≈10天</t>
  </si>
  <si>
    <t>μ 致死率/日</t>
  </si>
  <si>
    <t>0.02~0.1</t>
  </si>
  <si>
    <t>R0 =</t>
  </si>
  <si>
    <t>R0=β/(γ+μ)。R0&gt;1才流行；1.5~2.5最有戏剧性。提高β或μ造灭族瘟疫；提高γ压平曲线。</t>
  </si>
  <si>
    <t>④ 四族对比（人口增长 + 同一场瘟疫）</t>
  </si>
  <si>
    <t>参数 ＼ 种族</t>
  </si>
  <si>
    <t>森林族</t>
  </si>
  <si>
    <t>矮人族</t>
  </si>
  <si>
    <t>游牧族</t>
  </si>
  <si>
    <t>沼泽族</t>
  </si>
  <si>
    <t>森林族感染</t>
  </si>
  <si>
    <t>矮人族感染</t>
  </si>
  <si>
    <t>游牧族感染</t>
  </si>
  <si>
    <t>沼泽族感染</t>
  </si>
  <si>
    <t>抗病力 immunity</t>
  </si>
  <si>
    <t>β0 基础传染</t>
  </si>
  <si>
    <t>γ 康复率</t>
  </si>
  <si>
    <t>μ 致死率</t>
  </si>
  <si>
    <t>N 瘟疫总人口</t>
  </si>
  <si>
    <t>说明</t>
  </si>
  <si>
    <t>上图：四族各自 Logistic 人口曲线（沼泽繁殖快上限高、矮人慢且低）。下图：同一场瘟疫，β_eff=β0×(1-抗病力)，沼泽族抗病0.6几乎免疫，森林族抗病0.1全军覆没——这正是'用瘟疫定向灭族'的依据。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</si>
</sst>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4"/>
      <color rgb="FFFF2442"/>
      <name val="微软雅黑"/>
      <charset val="134"/>
    </font>
    <font>
      <b/>
      <sz val="11"/>
      <name val="微软雅黑"/>
      <charset val="134"/>
    </font>
    <font>
      <b/>
      <sz val="10"/>
      <color rgb="FF222222"/>
      <name val="微软雅黑"/>
      <charset val="134"/>
    </font>
    <font>
      <b/>
      <sz val="11"/>
      <color rgb="FFB00020"/>
      <name val="微软雅黑"/>
      <charset val="134"/>
    </font>
    <font>
      <b/>
      <sz val="11"/>
      <color rgb="FFFF2442"/>
      <name val="微软雅黑"/>
      <charset val="134"/>
    </font>
    <font>
      <i/>
      <sz val="9"/>
      <color rgb="FF666666"/>
      <name val="微软雅黑"/>
      <charset val="134"/>
    </font>
    <font>
      <sz val="9"/>
      <color rgb="FF666666"/>
      <name val="微软雅黑"/>
      <charset val="134"/>
    </font>
    <font>
      <b/>
      <sz val="16"/>
      <color rgb="FFFF2442"/>
      <name val="微软雅黑"/>
      <charset val="134"/>
    </font>
    <font>
      <sz val="10"/>
      <color rgb="FF666666"/>
      <name val="微软雅黑"/>
      <charset val="134"/>
    </font>
    <font>
      <sz val="10"/>
      <name val="微软雅黑"/>
      <charset val="134"/>
    </font>
    <font>
      <b/>
      <sz val="12"/>
      <color rgb="FF22222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E3E8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6D6"/>
        <bgColor indexed="64"/>
      </patternFill>
    </fill>
    <fill>
      <patternFill patternType="solid">
        <fgColor rgb="FFF2F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2" fillId="0" borderId="0" xfId="0" applyFont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5" fillId="0" borderId="0" xfId="0" applyFont="1"/>
    <xf numFmtId="0" fontId="6" fillId="5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7" fillId="0" borderId="0" xfId="0" applyFont="1"/>
    <xf numFmtId="0" fontId="4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vertical="center" wrapText="1"/>
    </xf>
    <xf numFmtId="0" fontId="11" fillId="0" borderId="0" xfId="0" applyFont="1"/>
    <xf numFmtId="0" fontId="1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人口 S 曲线（含第120天旱灾→K骤降）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'①人口-Logistic'!$F$3</c:f>
              <c:strCache>
                <c:ptCount val="1"/>
                <c:pt idx="0">
                  <c:v>N 人口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'①人口-Logistic'!$E$4:$E$223</c:f>
              <c:numCache>
                <c:formatCode>General</c:formatCode>
                <c:ptCount val="2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</c:numCache>
            </c:numRef>
          </c:cat>
          <c:val>
            <c:numRef>
              <c:f>'①人口-Logistic'!$F$4:$F$223</c:f>
              <c:numCache>
                <c:formatCode>General</c:formatCode>
                <c:ptCount val="220"/>
                <c:pt idx="0">
                  <c:v>10</c:v>
                </c:pt>
                <c:pt idx="1">
                  <c:v>10</c:v>
                </c:pt>
                <c:pt idx="2">
                  <c:v>10.796</c:v>
                </c:pt>
                <c:pt idx="3">
                  <c:v>11.65501785536</c:v>
                </c:pt>
                <c:pt idx="4">
                  <c:v>12.5819857061404</c:v>
                </c:pt>
                <c:pt idx="5">
                  <c:v>13.5822123080593</c:v>
                </c:pt>
                <c:pt idx="6">
                  <c:v>14.6614102330568</c:v>
                </c:pt>
                <c:pt idx="7">
                  <c:v>15.8257247737005</c:v>
                </c:pt>
                <c:pt idx="8">
                  <c:v>17.081764613012</c:v>
                </c:pt>
                <c:pt idx="9">
                  <c:v>18.4366343147612</c:v>
                </c:pt>
                <c:pt idx="10">
                  <c:v>19.8979686805478</c:v>
                </c:pt>
                <c:pt idx="11">
                  <c:v>21.4739690086872</c:v>
                </c:pt>
                <c:pt idx="12">
                  <c:v>23.1734412755827</c:v>
                </c:pt>
                <c:pt idx="13">
                  <c:v>25.0058362424072</c:v>
                </c:pt>
                <c:pt idx="14">
                  <c:v>26.9812914679525</c:v>
                </c:pt>
                <c:pt idx="15">
                  <c:v>29.1106751818175</c:v>
                </c:pt>
                <c:pt idx="16">
                  <c:v>31.4056319399813</c:v>
                </c:pt>
                <c:pt idx="17">
                  <c:v>33.8786299464778</c:v>
                </c:pt>
                <c:pt idx="18">
                  <c:v>36.543009879514</c:v>
                </c:pt>
                <c:pt idx="19">
                  <c:v>39.413035007033</c:v>
                </c:pt>
                <c:pt idx="20">
                  <c:v>42.503942314457</c:v>
                </c:pt>
                <c:pt idx="21">
                  <c:v>45.8319942951227</c:v>
                </c:pt>
                <c:pt idx="22">
                  <c:v>49.4145309706898</c:v>
                </c:pt>
                <c:pt idx="23">
                  <c:v>53.2700216135028</c:v>
                </c:pt>
                <c:pt idx="24">
                  <c:v>57.4181155344749</c:v>
                </c:pt>
                <c:pt idx="25">
                  <c:v>61.8796911775717</c:v>
                </c:pt>
                <c:pt idx="26">
                  <c:v>66.6769026245682</c:v>
                </c:pt>
                <c:pt idx="27">
                  <c:v>71.8332224607894</c:v>
                </c:pt>
                <c:pt idx="28">
                  <c:v>77.3734797836885</c:v>
                </c:pt>
                <c:pt idx="29">
                  <c:v>83.3238919514301</c:v>
                </c:pt>
                <c:pt idx="30">
                  <c:v>89.7120884687472</c:v>
                </c:pt>
                <c:pt idx="31">
                  <c:v>96.56712519355</c:v>
                </c:pt>
                <c:pt idx="32">
                  <c:v>103.919486822308</c:v>
                </c:pt>
                <c:pt idx="33">
                  <c:v>111.801075378436</c:v>
                </c:pt>
                <c:pt idx="34">
                  <c:v>120.24518219048</c:v>
                </c:pt>
                <c:pt idx="35">
                  <c:v>129.286440612118</c:v>
                </c:pt>
                <c:pt idx="36">
                  <c:v>138.960756512041</c:v>
                </c:pt>
                <c:pt idx="37">
                  <c:v>149.305213358988</c:v>
                </c:pt>
                <c:pt idx="38">
                  <c:v>160.357948558261</c:v>
                </c:pt>
                <c:pt idx="39">
                  <c:v>172.157997576289</c:v>
                </c:pt>
                <c:pt idx="40">
                  <c:v>184.745102337213</c:v>
                </c:pt>
                <c:pt idx="41">
                  <c:v>198.159480410686</c:v>
                </c:pt>
                <c:pt idx="42">
                  <c:v>212.441551656476</c:v>
                </c:pt>
                <c:pt idx="43">
                  <c:v>227.631619274186</c:v>
                </c:pt>
                <c:pt idx="44">
                  <c:v>243.769502652385</c:v>
                </c:pt>
                <c:pt idx="45">
                  <c:v>260.89412004764</c:v>
                </c:pt>
                <c:pt idx="46">
                  <c:v>279.043019976434</c:v>
                </c:pt>
                <c:pt idx="47">
                  <c:v>298.251861294646</c:v>
                </c:pt>
                <c:pt idx="48">
                  <c:v>318.553843287589</c:v>
                </c:pt>
                <c:pt idx="49">
                  <c:v>339.979088707664</c:v>
                </c:pt>
                <c:pt idx="50">
                  <c:v>362.553984573938</c:v>
                </c:pt>
                <c:pt idx="51">
                  <c:v>386.300487670635</c:v>
                </c:pt>
                <c:pt idx="52">
                  <c:v>411.235404013303</c:v>
                </c:pt>
                <c:pt idx="53">
                  <c:v>437.369654033808</c:v>
                </c:pt>
                <c:pt idx="54">
                  <c:v>464.707537785726</c:v>
                </c:pt>
                <c:pt idx="55">
                  <c:v>493.24601698159</c:v>
                </c:pt>
                <c:pt idx="56">
                  <c:v>522.974033009389</c:v>
                </c:pt>
                <c:pt idx="57">
                  <c:v>553.871882082056</c:v>
                </c:pt>
                <c:pt idx="58">
                  <c:v>585.910670178175</c:v>
                </c:pt>
                <c:pt idx="59">
                  <c:v>619.051871255284</c:v>
                </c:pt>
                <c:pt idx="60">
                  <c:v>653.24701218352</c:v>
                </c:pt>
                <c:pt idx="61">
                  <c:v>688.437506801134</c:v>
                </c:pt>
                <c:pt idx="62">
                  <c:v>724.554659314402</c:v>
                </c:pt>
                <c:pt idx="63">
                  <c:v>761.519853886186</c:v>
                </c:pt>
                <c:pt idx="64">
                  <c:v>799.244942682567</c:v>
                </c:pt>
                <c:pt idx="65">
                  <c:v>837.632838961026</c:v>
                </c:pt>
                <c:pt idx="66">
                  <c:v>876.578315161672</c:v>
                </c:pt>
                <c:pt idx="67">
                  <c:v>915.968998670138</c:v>
                </c:pt>
                <c:pt idx="68">
                  <c:v>955.686550302758</c:v>
                </c:pt>
                <c:pt idx="69">
                  <c:v>995.608003029795</c:v>
                </c:pt>
                <c:pt idx="70">
                  <c:v>1035.6072314443</c:v>
                </c:pt>
                <c:pt idx="71">
                  <c:v>1075.55651644705</c:v>
                </c:pt>
                <c:pt idx="72">
                  <c:v>1115.32816495995</c:v>
                </c:pt>
                <c:pt idx="73">
                  <c:v>1154.79614153463</c:v>
                </c:pt>
                <c:pt idx="74">
                  <c:v>1193.83766771727</c:v>
                </c:pt>
                <c:pt idx="75">
                  <c:v>1232.33474606023</c:v>
                </c:pt>
                <c:pt idx="76">
                  <c:v>1270.17556869115</c:v>
                </c:pt>
                <c:pt idx="77">
                  <c:v>1307.25577517445</c:v>
                </c:pt>
                <c:pt idx="78">
                  <c:v>1343.47953071933</c:v>
                </c:pt>
                <c:pt idx="79">
                  <c:v>1378.7604031984</c:v>
                </c:pt>
                <c:pt idx="80">
                  <c:v>1413.02202547716</c:v>
                </c:pt>
                <c:pt idx="81">
                  <c:v>1446.19853773599</c:v>
                </c:pt>
                <c:pt idx="82">
                  <c:v>1478.23481233288</c:v>
                </c:pt>
                <c:pt idx="83">
                  <c:v>1509.0864709038</c:v>
                </c:pt>
                <c:pt idx="84">
                  <c:v>1538.71970950951</c:v>
                </c:pt>
                <c:pt idx="85">
                  <c:v>1567.11095249294</c:v>
                </c:pt>
                <c:pt idx="86">
                  <c:v>1594.24635919545</c:v>
                </c:pt>
                <c:pt idx="87">
                  <c:v>1620.12120977876</c:v>
                </c:pt>
                <c:pt idx="88">
                  <c:v>1644.73919718607</c:v>
                </c:pt>
                <c:pt idx="89">
                  <c:v>1668.11165189054</c:v>
                </c:pt>
                <c:pt idx="90">
                  <c:v>1690.25672471486</c:v>
                </c:pt>
                <c:pt idx="91">
                  <c:v>1711.1985508743</c:v>
                </c:pt>
                <c:pt idx="92">
                  <c:v>1730.96641572367</c:v>
                </c:pt>
                <c:pt idx="93">
                  <c:v>1749.59393968704</c:v>
                </c:pt>
                <c:pt idx="94">
                  <c:v>1767.11829671041</c:v>
                </c:pt>
                <c:pt idx="95">
                  <c:v>1783.5794774645</c:v>
                </c:pt>
                <c:pt idx="96">
                  <c:v>1799.01960556436</c:v>
                </c:pt>
                <c:pt idx="97">
                  <c:v>1813.48231236131</c:v>
                </c:pt>
                <c:pt idx="98">
                  <c:v>1827.01217346032</c:v>
                </c:pt>
                <c:pt idx="99">
                  <c:v>1839.65420805826</c:v>
                </c:pt>
                <c:pt idx="100">
                  <c:v>1851.45344049386</c:v>
                </c:pt>
                <c:pt idx="101">
                  <c:v>1862.45452204071</c:v>
                </c:pt>
                <c:pt idx="102">
                  <c:v>1872.70140993717</c:v>
                </c:pt>
                <c:pt idx="103">
                  <c:v>1882.23709990092</c:v>
                </c:pt>
                <c:pt idx="104">
                  <c:v>1891.10340788325</c:v>
                </c:pt>
                <c:pt idx="105">
                  <c:v>1899.34079654161</c:v>
                </c:pt>
                <c:pt idx="106">
                  <c:v>1906.98824180864</c:v>
                </c:pt>
                <c:pt idx="107">
                  <c:v>1914.08313497748</c:v>
                </c:pt>
                <c:pt idx="108">
                  <c:v>1920.66121587147</c:v>
                </c:pt>
                <c:pt idx="109">
                  <c:v>1926.75653289507</c:v>
                </c:pt>
                <c:pt idx="110">
                  <c:v>1932.40142604452</c:v>
                </c:pt>
                <c:pt idx="111">
                  <c:v>1937.62652927293</c:v>
                </c:pt>
                <c:pt idx="112">
                  <c:v>1942.46078893707</c:v>
                </c:pt>
                <c:pt idx="113">
                  <c:v>1946.93149538972</c:v>
                </c:pt>
                <c:pt idx="114">
                  <c:v>1951.06432511128</c:v>
                </c:pt>
                <c:pt idx="115">
                  <c:v>1954.8833910913</c:v>
                </c:pt>
                <c:pt idx="116">
                  <c:v>1958.41129946802</c:v>
                </c:pt>
                <c:pt idx="117">
                  <c:v>1961.6692107101</c:v>
                </c:pt>
                <c:pt idx="118">
                  <c:v>1964.67690387699</c:v>
                </c:pt>
                <c:pt idx="119">
                  <c:v>1967.45284272204</c:v>
                </c:pt>
                <c:pt idx="120">
                  <c:v>1970.0142426064</c:v>
                </c:pt>
                <c:pt idx="121">
                  <c:v>1739.51977040771</c:v>
                </c:pt>
                <c:pt idx="122">
                  <c:v>1576.0884488764</c:v>
                </c:pt>
                <c:pt idx="123">
                  <c:v>1453.77004491835</c:v>
                </c:pt>
                <c:pt idx="124">
                  <c:v>1358.72691416163</c:v>
                </c:pt>
                <c:pt idx="125">
                  <c:v>1282.81118456784</c:v>
                </c:pt>
                <c:pt idx="126">
                  <c:v>1220.87562580803</c:v>
                </c:pt>
                <c:pt idx="127">
                  <c:v>1169.49194650346</c:v>
                </c:pt>
                <c:pt idx="128">
                  <c:v>1126.28016093009</c:v>
                </c:pt>
                <c:pt idx="129">
                  <c:v>1089.53187371403</c:v>
                </c:pt>
                <c:pt idx="130">
                  <c:v>1057.98645322727</c:v>
                </c:pt>
                <c:pt idx="131">
                  <c:v>1030.69183596421</c:v>
                </c:pt>
                <c:pt idx="132">
                  <c:v>1006.91461676902</c:v>
                </c:pt>
                <c:pt idx="133">
                  <c:v>986.08008156423</c:v>
                </c:pt>
                <c:pt idx="134">
                  <c:v>967.731095363597</c:v>
                </c:pt>
                <c:pt idx="135">
                  <c:v>951.499235699322</c:v>
                </c:pt>
                <c:pt idx="136">
                  <c:v>937.084095001628</c:v>
                </c:pt>
                <c:pt idx="137">
                  <c:v>924.238162491256</c:v>
                </c:pt>
                <c:pt idx="138">
                  <c:v>912.755597390036</c:v>
                </c:pt>
                <c:pt idx="139">
                  <c:v>902.463767124554</c:v>
                </c:pt>
                <c:pt idx="140">
                  <c:v>893.216783397255</c:v>
                </c:pt>
                <c:pt idx="141">
                  <c:v>884.890503854781</c:v>
                </c:pt>
                <c:pt idx="142">
                  <c:v>877.378623781927</c:v>
                </c:pt>
                <c:pt idx="143">
                  <c:v>870.589588737534</c:v>
                </c:pt>
                <c:pt idx="144">
                  <c:v>864.444132634718</c:v>
                </c:pt>
                <c:pt idx="145">
                  <c:v>858.873297400836</c:v>
                </c:pt>
                <c:pt idx="146">
                  <c:v>853.816827094085</c:v>
                </c:pt>
                <c:pt idx="147">
                  <c:v>849.22185583871</c:v>
                </c:pt>
                <c:pt idx="148">
                  <c:v>845.041828262393</c:v>
                </c:pt>
                <c:pt idx="149">
                  <c:v>841.23560537208</c:v>
                </c:pt>
                <c:pt idx="150">
                  <c:v>837.766719427273</c:v>
                </c:pt>
                <c:pt idx="151">
                  <c:v>834.602749363461</c:v>
                </c:pt>
                <c:pt idx="152">
                  <c:v>831.714794388033</c:v>
                </c:pt>
                <c:pt idx="153">
                  <c:v>829.077028018683</c:v>
                </c:pt>
                <c:pt idx="154">
                  <c:v>826.666318421349</c:v>
                </c:pt>
                <c:pt idx="155">
                  <c:v>824.461903693826</c:v>
                </c:pt>
                <c:pt idx="156">
                  <c:v>822.445112925087</c:v>
                </c:pt>
                <c:pt idx="157">
                  <c:v>820.599125581658</c:v>
                </c:pt>
                <c:pt idx="158">
                  <c:v>818.908763137653</c:v>
                </c:pt>
                <c:pt idx="159">
                  <c:v>817.360307954301</c:v>
                </c:pt>
                <c:pt idx="160">
                  <c:v>815.94134528873</c:v>
                </c:pt>
                <c:pt idx="161">
                  <c:v>814.64062501667</c:v>
                </c:pt>
                <c:pt idx="162">
                  <c:v>813.447940225249</c:v>
                </c:pt>
                <c:pt idx="163">
                  <c:v>812.354020297598</c:v>
                </c:pt>
                <c:pt idx="164">
                  <c:v>811.350436492039</c:v>
                </c:pt>
                <c:pt idx="165">
                  <c:v>810.42951833182</c:v>
                </c:pt>
                <c:pt idx="166">
                  <c:v>809.584279380011</c:v>
                </c:pt>
                <c:pt idx="167">
                  <c:v>808.808351188487</c:v>
                </c:pt>
                <c:pt idx="168">
                  <c:v>808.095924388342</c:v>
                </c:pt>
                <c:pt idx="169">
                  <c:v>807.441696038105</c:v>
                </c:pt>
                <c:pt idx="170">
                  <c:v>806.840822471064</c:v>
                </c:pt>
                <c:pt idx="171">
                  <c:v>806.288876988171</c:v>
                </c:pt>
                <c:pt idx="172">
                  <c:v>805.78181183174</c:v>
                </c:pt>
                <c:pt idx="173">
                  <c:v>805.315923950395</c:v>
                </c:pt>
                <c:pt idx="174">
                  <c:v>804.887824129619</c:v>
                </c:pt>
                <c:pt idx="175">
                  <c:v>804.494409116777</c:v>
                </c:pt>
                <c:pt idx="176">
                  <c:v>804.132836416104</c:v>
                </c:pt>
                <c:pt idx="177">
                  <c:v>803.800501469131</c:v>
                </c:pt>
                <c:pt idx="178">
                  <c:v>803.495016970459</c:v>
                </c:pt>
                <c:pt idx="179">
                  <c:v>803.21419409846</c:v>
                </c:pt>
                <c:pt idx="180">
                  <c:v>802.956025466213</c:v>
                </c:pt>
                <c:pt idx="181">
                  <c:v>802.71866962026</c:v>
                </c:pt>
                <c:pt idx="182">
                  <c:v>802.500436934189</c:v>
                </c:pt>
                <c:pt idx="183">
                  <c:v>802.299776760968</c:v>
                </c:pt>
                <c:pt idx="184">
                  <c:v>802.115265722775</c:v>
                </c:pt>
                <c:pt idx="185">
                  <c:v>801.945597030045</c:v>
                </c:pt>
                <c:pt idx="186">
                  <c:v>801.789570732861</c:v>
                </c:pt>
                <c:pt idx="187">
                  <c:v>801.646084817892</c:v>
                </c:pt>
                <c:pt idx="188">
                  <c:v>801.514127072938</c:v>
                </c:pt>
                <c:pt idx="189">
                  <c:v>801.392767649023</c:v>
                </c:pt>
                <c:pt idx="190">
                  <c:v>801.281152256929</c:v>
                </c:pt>
                <c:pt idx="191">
                  <c:v>801.178495941264</c:v>
                </c:pt>
                <c:pt idx="192">
                  <c:v>801.084077380695</c:v>
                </c:pt>
                <c:pt idx="193">
                  <c:v>800.997233667862</c:v>
                </c:pt>
                <c:pt idx="194">
                  <c:v>800.917355526935</c:v>
                </c:pt>
                <c:pt idx="195">
                  <c:v>800.843882930664</c:v>
                </c:pt>
                <c:pt idx="196">
                  <c:v>800.77630108237</c:v>
                </c:pt>
                <c:pt idx="197">
                  <c:v>800.714136731444</c:v>
                </c:pt>
                <c:pt idx="198">
                  <c:v>800.656954793801</c:v>
                </c:pt>
                <c:pt idx="199">
                  <c:v>800.604355251337</c:v>
                </c:pt>
                <c:pt idx="200">
                  <c:v>800.555970306703</c:v>
                </c:pt>
                <c:pt idx="201">
                  <c:v>800.511461771869</c:v>
                </c:pt>
                <c:pt idx="202">
                  <c:v>800.470518670805</c:v>
                </c:pt>
                <c:pt idx="203">
                  <c:v>800.432855038358</c:v>
                </c:pt>
                <c:pt idx="204">
                  <c:v>800.398207898941</c:v>
                </c:pt>
                <c:pt idx="205">
                  <c:v>800.366335410073</c:v>
                </c:pt>
                <c:pt idx="206">
                  <c:v>800.337015157104</c:v>
                </c:pt>
                <c:pt idx="207">
                  <c:v>800.310042586614</c:v>
                </c:pt>
                <c:pt idx="208">
                  <c:v>800.285229567044</c:v>
                </c:pt>
                <c:pt idx="209">
                  <c:v>800.26240306609</c:v>
                </c:pt>
                <c:pt idx="210">
                  <c:v>800.241403935266</c:v>
                </c:pt>
                <c:pt idx="211">
                  <c:v>800.222085792859</c:v>
                </c:pt>
                <c:pt idx="212">
                  <c:v>800.20431399722</c:v>
                </c:pt>
                <c:pt idx="213">
                  <c:v>800.187964703021</c:v>
                </c:pt>
                <c:pt idx="214">
                  <c:v>800.172923993707</c:v>
                </c:pt>
                <c:pt idx="215">
                  <c:v>800.159087083939</c:v>
                </c:pt>
                <c:pt idx="216">
                  <c:v>800.146357586354</c:v>
                </c:pt>
                <c:pt idx="217">
                  <c:v>800.134646837392</c:v>
                </c:pt>
                <c:pt idx="218">
                  <c:v>800.123873277423</c:v>
                </c:pt>
                <c:pt idx="219">
                  <c:v>800.11396188077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'①人口-Logistic'!$G$3</c:f>
              <c:strCache>
                <c:ptCount val="1"/>
                <c:pt idx="0">
                  <c:v>K 当前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'①人口-Logistic'!$E$4:$E$223</c:f>
              <c:numCache>
                <c:formatCode>General</c:formatCode>
                <c:ptCount val="2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</c:numCache>
            </c:numRef>
          </c:cat>
          <c:val>
            <c:numRef>
              <c:f>'①人口-Logistic'!$G$4:$G$223</c:f>
              <c:numCache>
                <c:formatCode>General</c:formatCode>
                <c:ptCount val="220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2000</c:v>
                </c:pt>
                <c:pt idx="38">
                  <c:v>2000</c:v>
                </c:pt>
                <c:pt idx="39">
                  <c:v>2000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2000</c:v>
                </c:pt>
                <c:pt idx="45">
                  <c:v>2000</c:v>
                </c:pt>
                <c:pt idx="46">
                  <c:v>2000</c:v>
                </c:pt>
                <c:pt idx="47">
                  <c:v>2000</c:v>
                </c:pt>
                <c:pt idx="48">
                  <c:v>2000</c:v>
                </c:pt>
                <c:pt idx="49">
                  <c:v>2000</c:v>
                </c:pt>
                <c:pt idx="50">
                  <c:v>2000</c:v>
                </c:pt>
                <c:pt idx="51">
                  <c:v>2000</c:v>
                </c:pt>
                <c:pt idx="52">
                  <c:v>2000</c:v>
                </c:pt>
                <c:pt idx="53">
                  <c:v>2000</c:v>
                </c:pt>
                <c:pt idx="54">
                  <c:v>2000</c:v>
                </c:pt>
                <c:pt idx="55">
                  <c:v>2000</c:v>
                </c:pt>
                <c:pt idx="56">
                  <c:v>2000</c:v>
                </c:pt>
                <c:pt idx="57">
                  <c:v>2000</c:v>
                </c:pt>
                <c:pt idx="58">
                  <c:v>2000</c:v>
                </c:pt>
                <c:pt idx="59">
                  <c:v>2000</c:v>
                </c:pt>
                <c:pt idx="60">
                  <c:v>2000</c:v>
                </c:pt>
                <c:pt idx="61">
                  <c:v>2000</c:v>
                </c:pt>
                <c:pt idx="62">
                  <c:v>2000</c:v>
                </c:pt>
                <c:pt idx="63">
                  <c:v>2000</c:v>
                </c:pt>
                <c:pt idx="64">
                  <c:v>2000</c:v>
                </c:pt>
                <c:pt idx="65">
                  <c:v>2000</c:v>
                </c:pt>
                <c:pt idx="66">
                  <c:v>2000</c:v>
                </c:pt>
                <c:pt idx="67">
                  <c:v>2000</c:v>
                </c:pt>
                <c:pt idx="68">
                  <c:v>2000</c:v>
                </c:pt>
                <c:pt idx="69">
                  <c:v>2000</c:v>
                </c:pt>
                <c:pt idx="70">
                  <c:v>2000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>
                  <c:v>2000</c:v>
                </c:pt>
                <c:pt idx="76">
                  <c:v>2000</c:v>
                </c:pt>
                <c:pt idx="77">
                  <c:v>2000</c:v>
                </c:pt>
                <c:pt idx="78">
                  <c:v>2000</c:v>
                </c:pt>
                <c:pt idx="79">
                  <c:v>2000</c:v>
                </c:pt>
                <c:pt idx="80">
                  <c:v>2000</c:v>
                </c:pt>
                <c:pt idx="81">
                  <c:v>2000</c:v>
                </c:pt>
                <c:pt idx="82">
                  <c:v>2000</c:v>
                </c:pt>
                <c:pt idx="83">
                  <c:v>2000</c:v>
                </c:pt>
                <c:pt idx="84">
                  <c:v>2000</c:v>
                </c:pt>
                <c:pt idx="85">
                  <c:v>2000</c:v>
                </c:pt>
                <c:pt idx="86">
                  <c:v>2000</c:v>
                </c:pt>
                <c:pt idx="87">
                  <c:v>2000</c:v>
                </c:pt>
                <c:pt idx="88">
                  <c:v>2000</c:v>
                </c:pt>
                <c:pt idx="89">
                  <c:v>2000</c:v>
                </c:pt>
                <c:pt idx="90">
                  <c:v>2000</c:v>
                </c:pt>
                <c:pt idx="91">
                  <c:v>2000</c:v>
                </c:pt>
                <c:pt idx="92">
                  <c:v>2000</c:v>
                </c:pt>
                <c:pt idx="93">
                  <c:v>2000</c:v>
                </c:pt>
                <c:pt idx="94">
                  <c:v>2000</c:v>
                </c:pt>
                <c:pt idx="95">
                  <c:v>2000</c:v>
                </c:pt>
                <c:pt idx="96">
                  <c:v>2000</c:v>
                </c:pt>
                <c:pt idx="97">
                  <c:v>2000</c:v>
                </c:pt>
                <c:pt idx="98">
                  <c:v>2000</c:v>
                </c:pt>
                <c:pt idx="99">
                  <c:v>2000</c:v>
                </c:pt>
                <c:pt idx="100">
                  <c:v>2000</c:v>
                </c:pt>
                <c:pt idx="101">
                  <c:v>2000</c:v>
                </c:pt>
                <c:pt idx="102">
                  <c:v>2000</c:v>
                </c:pt>
                <c:pt idx="103">
                  <c:v>2000</c:v>
                </c:pt>
                <c:pt idx="104">
                  <c:v>2000</c:v>
                </c:pt>
                <c:pt idx="105">
                  <c:v>2000</c:v>
                </c:pt>
                <c:pt idx="106">
                  <c:v>2000</c:v>
                </c:pt>
                <c:pt idx="107">
                  <c:v>2000</c:v>
                </c:pt>
                <c:pt idx="108">
                  <c:v>2000</c:v>
                </c:pt>
                <c:pt idx="109">
                  <c:v>2000</c:v>
                </c:pt>
                <c:pt idx="110">
                  <c:v>2000</c:v>
                </c:pt>
                <c:pt idx="111">
                  <c:v>2000</c:v>
                </c:pt>
                <c:pt idx="112">
                  <c:v>2000</c:v>
                </c:pt>
                <c:pt idx="113">
                  <c:v>2000</c:v>
                </c:pt>
                <c:pt idx="114">
                  <c:v>2000</c:v>
                </c:pt>
                <c:pt idx="115">
                  <c:v>2000</c:v>
                </c:pt>
                <c:pt idx="116">
                  <c:v>2000</c:v>
                </c:pt>
                <c:pt idx="117">
                  <c:v>2000</c:v>
                </c:pt>
                <c:pt idx="118">
                  <c:v>2000</c:v>
                </c:pt>
                <c:pt idx="119">
                  <c:v>2000</c:v>
                </c:pt>
                <c:pt idx="120">
                  <c:v>800</c:v>
                </c:pt>
                <c:pt idx="121">
                  <c:v>800</c:v>
                </c:pt>
                <c:pt idx="122">
                  <c:v>800</c:v>
                </c:pt>
                <c:pt idx="123">
                  <c:v>800</c:v>
                </c:pt>
                <c:pt idx="124">
                  <c:v>800</c:v>
                </c:pt>
                <c:pt idx="125">
                  <c:v>800</c:v>
                </c:pt>
                <c:pt idx="126">
                  <c:v>800</c:v>
                </c:pt>
                <c:pt idx="127">
                  <c:v>800</c:v>
                </c:pt>
                <c:pt idx="128">
                  <c:v>800</c:v>
                </c:pt>
                <c:pt idx="129">
                  <c:v>800</c:v>
                </c:pt>
                <c:pt idx="130">
                  <c:v>800</c:v>
                </c:pt>
                <c:pt idx="131">
                  <c:v>800</c:v>
                </c:pt>
                <c:pt idx="132">
                  <c:v>800</c:v>
                </c:pt>
                <c:pt idx="133">
                  <c:v>800</c:v>
                </c:pt>
                <c:pt idx="134">
                  <c:v>800</c:v>
                </c:pt>
                <c:pt idx="135">
                  <c:v>800</c:v>
                </c:pt>
                <c:pt idx="136">
                  <c:v>800</c:v>
                </c:pt>
                <c:pt idx="137">
                  <c:v>800</c:v>
                </c:pt>
                <c:pt idx="138">
                  <c:v>800</c:v>
                </c:pt>
                <c:pt idx="139">
                  <c:v>800</c:v>
                </c:pt>
                <c:pt idx="140">
                  <c:v>800</c:v>
                </c:pt>
                <c:pt idx="141">
                  <c:v>800</c:v>
                </c:pt>
                <c:pt idx="142">
                  <c:v>800</c:v>
                </c:pt>
                <c:pt idx="143">
                  <c:v>800</c:v>
                </c:pt>
                <c:pt idx="144">
                  <c:v>800</c:v>
                </c:pt>
                <c:pt idx="145">
                  <c:v>800</c:v>
                </c:pt>
                <c:pt idx="146">
                  <c:v>800</c:v>
                </c:pt>
                <c:pt idx="147">
                  <c:v>800</c:v>
                </c:pt>
                <c:pt idx="148">
                  <c:v>800</c:v>
                </c:pt>
                <c:pt idx="149">
                  <c:v>800</c:v>
                </c:pt>
                <c:pt idx="150">
                  <c:v>800</c:v>
                </c:pt>
                <c:pt idx="151">
                  <c:v>800</c:v>
                </c:pt>
                <c:pt idx="152">
                  <c:v>800</c:v>
                </c:pt>
                <c:pt idx="153">
                  <c:v>800</c:v>
                </c:pt>
                <c:pt idx="154">
                  <c:v>800</c:v>
                </c:pt>
                <c:pt idx="155">
                  <c:v>800</c:v>
                </c:pt>
                <c:pt idx="156">
                  <c:v>800</c:v>
                </c:pt>
                <c:pt idx="157">
                  <c:v>800</c:v>
                </c:pt>
                <c:pt idx="158">
                  <c:v>800</c:v>
                </c:pt>
                <c:pt idx="159">
                  <c:v>800</c:v>
                </c:pt>
                <c:pt idx="160">
                  <c:v>800</c:v>
                </c:pt>
                <c:pt idx="161">
                  <c:v>800</c:v>
                </c:pt>
                <c:pt idx="162">
                  <c:v>800</c:v>
                </c:pt>
                <c:pt idx="163">
                  <c:v>800</c:v>
                </c:pt>
                <c:pt idx="164">
                  <c:v>800</c:v>
                </c:pt>
                <c:pt idx="165">
                  <c:v>800</c:v>
                </c:pt>
                <c:pt idx="166">
                  <c:v>800</c:v>
                </c:pt>
                <c:pt idx="167">
                  <c:v>800</c:v>
                </c:pt>
                <c:pt idx="168">
                  <c:v>800</c:v>
                </c:pt>
                <c:pt idx="169">
                  <c:v>800</c:v>
                </c:pt>
                <c:pt idx="170">
                  <c:v>800</c:v>
                </c:pt>
                <c:pt idx="171">
                  <c:v>800</c:v>
                </c:pt>
                <c:pt idx="172">
                  <c:v>800</c:v>
                </c:pt>
                <c:pt idx="173">
                  <c:v>800</c:v>
                </c:pt>
                <c:pt idx="174">
                  <c:v>800</c:v>
                </c:pt>
                <c:pt idx="175">
                  <c:v>800</c:v>
                </c:pt>
                <c:pt idx="176">
                  <c:v>800</c:v>
                </c:pt>
                <c:pt idx="177">
                  <c:v>800</c:v>
                </c:pt>
                <c:pt idx="178">
                  <c:v>800</c:v>
                </c:pt>
                <c:pt idx="179">
                  <c:v>800</c:v>
                </c:pt>
                <c:pt idx="180">
                  <c:v>800</c:v>
                </c:pt>
                <c:pt idx="181">
                  <c:v>800</c:v>
                </c:pt>
                <c:pt idx="182">
                  <c:v>800</c:v>
                </c:pt>
                <c:pt idx="183">
                  <c:v>800</c:v>
                </c:pt>
                <c:pt idx="184">
                  <c:v>800</c:v>
                </c:pt>
                <c:pt idx="185">
                  <c:v>800</c:v>
                </c:pt>
                <c:pt idx="186">
                  <c:v>800</c:v>
                </c:pt>
                <c:pt idx="187">
                  <c:v>800</c:v>
                </c:pt>
                <c:pt idx="188">
                  <c:v>800</c:v>
                </c:pt>
                <c:pt idx="189">
                  <c:v>800</c:v>
                </c:pt>
                <c:pt idx="190">
                  <c:v>800</c:v>
                </c:pt>
                <c:pt idx="191">
                  <c:v>800</c:v>
                </c:pt>
                <c:pt idx="192">
                  <c:v>800</c:v>
                </c:pt>
                <c:pt idx="193">
                  <c:v>800</c:v>
                </c:pt>
                <c:pt idx="194">
                  <c:v>800</c:v>
                </c:pt>
                <c:pt idx="195">
                  <c:v>800</c:v>
                </c:pt>
                <c:pt idx="196">
                  <c:v>800</c:v>
                </c:pt>
                <c:pt idx="197">
                  <c:v>800</c:v>
                </c:pt>
                <c:pt idx="198">
                  <c:v>800</c:v>
                </c:pt>
                <c:pt idx="199">
                  <c:v>800</c:v>
                </c:pt>
                <c:pt idx="200">
                  <c:v>800</c:v>
                </c:pt>
                <c:pt idx="201">
                  <c:v>800</c:v>
                </c:pt>
                <c:pt idx="202">
                  <c:v>800</c:v>
                </c:pt>
                <c:pt idx="203">
                  <c:v>800</c:v>
                </c:pt>
                <c:pt idx="204">
                  <c:v>800</c:v>
                </c:pt>
                <c:pt idx="205">
                  <c:v>800</c:v>
                </c:pt>
                <c:pt idx="206">
                  <c:v>800</c:v>
                </c:pt>
                <c:pt idx="207">
                  <c:v>800</c:v>
                </c:pt>
                <c:pt idx="208">
                  <c:v>800</c:v>
                </c:pt>
                <c:pt idx="209">
                  <c:v>800</c:v>
                </c:pt>
                <c:pt idx="210">
                  <c:v>800</c:v>
                </c:pt>
                <c:pt idx="211">
                  <c:v>800</c:v>
                </c:pt>
                <c:pt idx="212">
                  <c:v>800</c:v>
                </c:pt>
                <c:pt idx="213">
                  <c:v>800</c:v>
                </c:pt>
                <c:pt idx="214">
                  <c:v>800</c:v>
                </c:pt>
                <c:pt idx="215">
                  <c:v>800</c:v>
                </c:pt>
                <c:pt idx="216">
                  <c:v>800</c:v>
                </c:pt>
                <c:pt idx="217">
                  <c:v>800</c:v>
                </c:pt>
                <c:pt idx="218">
                  <c:v>800</c:v>
                </c:pt>
                <c:pt idx="219">
                  <c:v>800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天 (day)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数量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6ea4ca-c12a-4b74-bcc4-77aef5f1a4d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猎物-小人 周期性振荡（相位差是关键）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'②食物链-LotkaVolterra'!$F$3</c:f>
              <c:strCache>
                <c:ptCount val="1"/>
                <c:pt idx="0">
                  <c:v>X 猎物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'②食物链-LotkaVolterra'!$E$4:$E$323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cat>
          <c:val>
            <c:numRef>
              <c:f>'②食物链-LotkaVolterra'!$F$4:$F$323</c:f>
              <c:numCache>
                <c:formatCode>General</c:formatCode>
                <c:ptCount val="320"/>
                <c:pt idx="0">
                  <c:v>120</c:v>
                </c:pt>
                <c:pt idx="1">
                  <c:v>121.2</c:v>
                </c:pt>
                <c:pt idx="2">
                  <c:v>122.36352</c:v>
                </c:pt>
                <c:pt idx="3">
                  <c:v>123.485808838195</c:v>
                </c:pt>
                <c:pt idx="4">
                  <c:v>124.562015868737</c:v>
                </c:pt>
                <c:pt idx="5">
                  <c:v>125.587214234623</c:v>
                </c:pt>
                <c:pt idx="6">
                  <c:v>126.556427634528</c:v>
                </c:pt>
                <c:pt idx="7">
                  <c:v>127.464660662271</c:v>
                </c:pt>
                <c:pt idx="8">
                  <c:v>128.30693273828</c:v>
                </c:pt>
                <c:pt idx="9">
                  <c:v>129.07831558136</c:v>
                </c:pt>
                <c:pt idx="10">
                  <c:v>129.773974086285</c:v>
                </c:pt>
                <c:pt idx="11">
                  <c:v>130.389210378504</c:v>
                </c:pt>
                <c:pt idx="12">
                  <c:v>130.919510712887</c:v>
                </c:pt>
                <c:pt idx="13">
                  <c:v>131.360594770402</c:v>
                </c:pt>
                <c:pt idx="14">
                  <c:v>131.708466787694</c:v>
                </c:pt>
                <c:pt idx="15">
                  <c:v>131.959467832983</c:v>
                </c:pt>
                <c:pt idx="16">
                  <c:v>132.110328421809</c:v>
                </c:pt>
                <c:pt idx="17">
                  <c:v>132.15822055292</c:v>
                </c:pt>
                <c:pt idx="18">
                  <c:v>132.100808143837</c:v>
                </c:pt>
                <c:pt idx="19">
                  <c:v>131.936294763443</c:v>
                </c:pt>
                <c:pt idx="20">
                  <c:v>131.66346750185</c:v>
                </c:pt>
                <c:pt idx="21">
                  <c:v>131.281735792048</c:v>
                </c:pt>
                <c:pt idx="22">
                  <c:v>130.791164009139</c:v>
                </c:pt>
                <c:pt idx="23">
                  <c:v>130.192496725996</c:v>
                </c:pt>
                <c:pt idx="24">
                  <c:v>129.487175602109</c:v>
                </c:pt>
                <c:pt idx="25">
                  <c:v>128.677347026343</c:v>
                </c:pt>
                <c:pt idx="26">
                  <c:v>127.765859823102</c:v>
                </c:pt>
                <c:pt idx="27">
                  <c:v>126.756252561201</c:v>
                </c:pt>
                <c:pt idx="28">
                  <c:v>125.652730268894</c:v>
                </c:pt>
                <c:pt idx="29">
                  <c:v>124.46013064799</c:v>
                </c:pt>
                <c:pt idx="30">
                  <c:v>123.183880183164</c:v>
                </c:pt>
                <c:pt idx="31">
                  <c:v>121.829940846461</c:v>
                </c:pt>
                <c:pt idx="32">
                  <c:v>120.404748387321</c:v>
                </c:pt>
                <c:pt idx="33">
                  <c:v>118.915143461207</c:v>
                </c:pt>
                <c:pt idx="34">
                  <c:v>117.368297071721</c:v>
                </c:pt>
                <c:pt idx="35">
                  <c:v>115.771631970744</c:v>
                </c:pt>
                <c:pt idx="36">
                  <c:v>114.132741769857</c:v>
                </c:pt>
                <c:pt idx="37">
                  <c:v>112.459309559015</c:v>
                </c:pt>
                <c:pt idx="38">
                  <c:v>110.759027803625</c:v>
                </c:pt>
                <c:pt idx="39">
                  <c:v>109.039521201207</c:v>
                </c:pt>
                <c:pt idx="40">
                  <c:v>107.308274029892</c:v>
                </c:pt>
                <c:pt idx="41">
                  <c:v>105.572563322149</c:v>
                </c:pt>
                <c:pt idx="42">
                  <c:v>103.839398959986</c:v>
                </c:pt>
                <c:pt idx="43">
                  <c:v>102.115471525501</c:v>
                </c:pt>
                <c:pt idx="44">
                  <c:v>100.407108466525</c:v>
                </c:pt>
                <c:pt idx="45">
                  <c:v>98.7202388644196</c:v>
                </c:pt>
                <c:pt idx="46">
                  <c:v>97.0603668317954</c:v>
                </c:pt>
                <c:pt idx="47">
                  <c:v>95.4325533319342</c:v>
                </c:pt>
                <c:pt idx="48">
                  <c:v>93.8414060068734</c:v>
                </c:pt>
                <c:pt idx="49">
                  <c:v>92.2910764325601</c:v>
                </c:pt>
                <c:pt idx="50">
                  <c:v>90.7852640899267</c:v>
                </c:pt>
                <c:pt idx="51">
                  <c:v>89.3272262505106</c:v>
                </c:pt>
                <c:pt idx="52">
                  <c:v>87.9197929226758</c:v>
                </c:pt>
                <c:pt idx="53">
                  <c:v>86.5653859863228</c:v>
                </c:pt>
                <c:pt idx="54">
                  <c:v>85.2660416557693</c:v>
                </c:pt>
                <c:pt idx="55">
                  <c:v>84.0234354471392</c:v>
                </c:pt>
                <c:pt idx="56">
                  <c:v>82.8389088826844</c:v>
                </c:pt>
                <c:pt idx="57">
                  <c:v>81.7134972346532</c:v>
                </c:pt>
                <c:pt idx="58">
                  <c:v>80.647957690591</c:v>
                </c:pt>
                <c:pt idx="59">
                  <c:v>79.6427974058547</c:v>
                </c:pt>
                <c:pt idx="60">
                  <c:v>78.6983009938268</c:v>
                </c:pt>
                <c:pt idx="61">
                  <c:v>77.814557086746</c:v>
                </c:pt>
                <c:pt idx="62">
                  <c:v>76.9914836778471</c:v>
                </c:pt>
                <c:pt idx="63">
                  <c:v>76.2288520269365</c:v>
                </c:pt>
                <c:pt idx="64">
                  <c:v>75.5263089755284</c:v>
                </c:pt>
                <c:pt idx="65">
                  <c:v>74.8833975736624</c:v>
                </c:pt>
                <c:pt idx="66">
                  <c:v>74.299575968381</c:v>
                </c:pt>
                <c:pt idx="67">
                  <c:v>73.7742345437525</c:v>
                </c:pt>
                <c:pt idx="68">
                  <c:v>73.306711334727</c:v>
                </c:pt>
                <c:pt idx="69">
                  <c:v>72.896305762614</c:v>
                </c:pt>
                <c:pt idx="70">
                  <c:v>72.5422907592855</c:v>
                </c:pt>
                <c:pt idx="71">
                  <c:v>72.243923361096</c:v>
                </c:pt>
                <c:pt idx="72">
                  <c:v>72.0004538627332</c:v>
                </c:pt>
                <c:pt idx="73">
                  <c:v>71.8111336265191</c:v>
                </c:pt>
                <c:pt idx="74">
                  <c:v>71.6752216447539</c:v>
                </c:pt>
                <c:pt idx="75">
                  <c:v>71.5919899521751</c:v>
                </c:pt>
                <c:pt idx="76">
                  <c:v>71.5607279830458</c:v>
                </c:pt>
                <c:pt idx="77">
                  <c:v>71.5807459632899</c:v>
                </c:pt>
                <c:pt idx="78">
                  <c:v>71.6513774228691</c:v>
                </c:pt>
                <c:pt idx="79">
                  <c:v>71.7719809076042</c:v>
                </c:pt>
                <c:pt idx="80">
                  <c:v>71.9419409631779</c:v>
                </c:pt>
                <c:pt idx="81">
                  <c:v>72.1606684573417</c:v>
                </c:pt>
                <c:pt idx="82">
                  <c:v>72.4276002995889</c:v>
                </c:pt>
                <c:pt idx="83">
                  <c:v>72.742198610881</c:v>
                </c:pt>
                <c:pt idx="84">
                  <c:v>73.1039493895456</c:v>
                </c:pt>
                <c:pt idx="85">
                  <c:v>73.5123607132769</c:v>
                </c:pt>
                <c:pt idx="86">
                  <c:v>73.9669605113239</c:v>
                </c:pt>
                <c:pt idx="87">
                  <c:v>74.4672939354829</c:v>
                </c:pt>
                <c:pt idx="88">
                  <c:v>75.0129203534489</c:v>
                </c:pt>
                <c:pt idx="89">
                  <c:v>75.6034099834285</c:v>
                </c:pt>
                <c:pt idx="90">
                  <c:v>76.2383401846911</c:v>
                </c:pt>
                <c:pt idx="91">
                  <c:v>76.9172914149301</c:v>
                </c:pt>
                <c:pt idx="92">
                  <c:v>77.639842861914</c:v>
                </c:pt>
                <c:pt idx="93">
                  <c:v>78.4055677539431</c:v>
                </c:pt>
                <c:pt idx="94">
                  <c:v>79.2140283510628</c:v>
                </c:pt>
                <c:pt idx="95">
                  <c:v>80.0647706168504</c:v>
                </c:pt>
                <c:pt idx="96">
                  <c:v>80.9573185688589</c:v>
                </c:pt>
                <c:pt idx="97">
                  <c:v>81.8911683045099</c:v>
                </c:pt>
                <c:pt idx="98">
                  <c:v>82.865781698363</c:v>
                </c:pt>
                <c:pt idx="99">
                  <c:v>83.8805797662886</c:v>
                </c:pt>
                <c:pt idx="100">
                  <c:v>84.9349356921531</c:v>
                </c:pt>
                <c:pt idx="101">
                  <c:v>86.0281675132244</c:v>
                </c:pt>
                <c:pt idx="102">
                  <c:v>87.1595304616582</c:v>
                </c:pt>
                <c:pt idx="103">
                  <c:v>88.3282089611891</c:v>
                </c:pt>
                <c:pt idx="104">
                  <c:v>89.5333082805687</c:v>
                </c:pt>
                <c:pt idx="105">
                  <c:v>90.7738458484432</c:v>
                </c:pt>
                <c:pt idx="106">
                  <c:v>92.048742238307</c:v>
                </c:pt>
                <c:pt idx="107">
                  <c:v>93.3568118369972</c:v>
                </c:pt>
                <c:pt idx="108">
                  <c:v>94.6967532159858</c:v>
                </c:pt>
                <c:pt idx="109">
                  <c:v>96.0671392315859</c:v>
                </c:pt>
                <c:pt idx="110">
                  <c:v>97.4664068882028</c:v>
                </c:pt>
                <c:pt idx="111">
                  <c:v>98.8928470080473</c:v>
                </c:pt>
                <c:pt idx="112">
                  <c:v>100.344593761376</c:v>
                </c:pt>
                <c:pt idx="113">
                  <c:v>101.819614123436</c:v>
                </c:pt>
                <c:pt idx="114">
                  <c:v>103.315697337971</c:v>
                </c:pt>
                <c:pt idx="115">
                  <c:v>104.830444482435</c:v>
                </c:pt>
                <c:pt idx="116">
                  <c:v>106.361258247061</c:v>
                </c:pt>
                <c:pt idx="117">
                  <c:v>107.905333058624</c:v>
                </c:pt>
                <c:pt idx="118">
                  <c:v>109.459645700133</c:v>
                </c:pt>
                <c:pt idx="119">
                  <c:v>111.020946599693</c:v>
                </c:pt>
                <c:pt idx="120">
                  <c:v>112.585751985238</c:v>
                </c:pt>
                <c:pt idx="121">
                  <c:v>114.150337126597</c:v>
                </c:pt>
                <c:pt idx="122">
                  <c:v>115.710730911933</c:v>
                </c:pt>
                <c:pt idx="123">
                  <c:v>117.262712031683</c:v>
                </c:pt>
                <c:pt idx="124">
                  <c:v>118.801807068985</c:v>
                </c:pt>
                <c:pt idx="125">
                  <c:v>120.323290820494</c:v>
                </c:pt>
                <c:pt idx="126">
                  <c:v>121.82218919444</c:v>
                </c:pt>
                <c:pt idx="127">
                  <c:v>123.293285052569</c:v>
                </c:pt>
                <c:pt idx="128">
                  <c:v>124.731127377838</c:v>
                </c:pt>
                <c:pt idx="129">
                  <c:v>126.130044158742</c:v>
                </c:pt>
                <c:pt idx="130">
                  <c:v>127.484159381994</c:v>
                </c:pt>
                <c:pt idx="131">
                  <c:v>128.787414516007</c:v>
                </c:pt>
                <c:pt idx="132">
                  <c:v>130.033594845775</c:v>
                </c:pt>
                <c:pt idx="133">
                  <c:v>131.21636098321</c:v>
                </c:pt>
                <c:pt idx="134">
                  <c:v>132.329285823179</c:v>
                </c:pt>
                <c:pt idx="135">
                  <c:v>133.365897142287</c:v>
                </c:pt>
                <c:pt idx="136">
                  <c:v>134.319725942923</c:v>
                </c:pt>
                <c:pt idx="137">
                  <c:v>135.184360527651</c:v>
                </c:pt>
                <c:pt idx="138">
                  <c:v>135.953506148096</c:v>
                </c:pt>
                <c:pt idx="139">
                  <c:v>136.621049908122</c:v>
                </c:pt>
                <c:pt idx="140">
                  <c:v>137.18113041493</c:v>
                </c:pt>
                <c:pt idx="141">
                  <c:v>137.628211466659</c:v>
                </c:pt>
                <c:pt idx="142">
                  <c:v>137.957158845862</c:v>
                </c:pt>
                <c:pt idx="143">
                  <c:v>138.163319061616</c:v>
                </c:pt>
                <c:pt idx="144">
                  <c:v>138.242598657539</c:v>
                </c:pt>
                <c:pt idx="145">
                  <c:v>138.191542489243</c:v>
                </c:pt>
                <c:pt idx="146">
                  <c:v>138.00740918501</c:v>
                </c:pt>
                <c:pt idx="147">
                  <c:v>137.688241851043</c:v>
                </c:pt>
                <c:pt idx="148">
                  <c:v>137.232931981643</c:v>
                </c:pt>
                <c:pt idx="149">
                  <c:v>136.641274498538</c:v>
                </c:pt>
                <c:pt idx="150">
                  <c:v>135.914011884654</c:v>
                </c:pt>
                <c:pt idx="151">
                  <c:v>135.052865505305</c:v>
                </c:pt>
                <c:pt idx="152">
                  <c:v>134.060552429823</c:v>
                </c:pt>
                <c:pt idx="153">
                  <c:v>132.940786379816</c:v>
                </c:pt>
                <c:pt idx="154">
                  <c:v>131.698261831351</c:v>
                </c:pt>
                <c:pt idx="155">
                  <c:v>130.338620776003</c:v>
                </c:pt>
                <c:pt idx="156">
                  <c:v>128.868402182082</c:v>
                </c:pt>
                <c:pt idx="157">
                  <c:v>127.294974768951</c:v>
                </c:pt>
                <c:pt idx="158">
                  <c:v>125.626454286175</c:v>
                </c:pt>
                <c:pt idx="159">
                  <c:v>123.87160704451</c:v>
                </c:pt>
                <c:pt idx="160">
                  <c:v>122.039741946303</c:v>
                </c:pt>
                <c:pt idx="161">
                  <c:v>120.140593679365</c:v>
                </c:pt>
                <c:pt idx="162">
                  <c:v>118.184200046092</c:v>
                </c:pt>
                <c:pt idx="163">
                  <c:v>116.180776580101</c:v>
                </c:pt>
                <c:pt idx="164">
                  <c:v>114.14059164601</c:v>
                </c:pt>
                <c:pt idx="165">
                  <c:v>112.073845123086</c:v>
                </c:pt>
                <c:pt idx="166">
                  <c:v>109.990553548503</c:v>
                </c:pt>
                <c:pt idx="167">
                  <c:v>107.900444257281</c:v>
                </c:pt>
                <c:pt idx="168">
                  <c:v>105.812860626722</c:v>
                </c:pt>
                <c:pt idx="169">
                  <c:v>103.736680041173</c:v>
                </c:pt>
                <c:pt idx="170">
                  <c:v>101.680245668058</c:v>
                </c:pt>
                <c:pt idx="171">
                  <c:v>99.6513126082157</c:v>
                </c:pt>
                <c:pt idx="172">
                  <c:v>97.6570084797465</c:v>
                </c:pt>
                <c:pt idx="173">
                  <c:v>95.7038080379557</c:v>
                </c:pt>
                <c:pt idx="174">
                  <c:v>93.7975210420524</c:v>
                </c:pt>
                <c:pt idx="175">
                  <c:v>91.943292263577</c:v>
                </c:pt>
                <c:pt idx="176">
                  <c:v>90.1456122975356</c:v>
                </c:pt>
                <c:pt idx="177">
                  <c:v>88.4083376848223</c:v>
                </c:pt>
                <c:pt idx="178">
                  <c:v>86.7347187789707</c:v>
                </c:pt>
                <c:pt idx="179">
                  <c:v>85.1274337832499</c:v>
                </c:pt>
                <c:pt idx="180">
                  <c:v>83.5886274349003</c:v>
                </c:pt>
                <c:pt idx="181">
                  <c:v>82.1199529099224</c:v>
                </c:pt>
                <c:pt idx="182">
                  <c:v>80.7226156520768</c:v>
                </c:pt>
                <c:pt idx="183">
                  <c:v>79.3974179819995</c:v>
                </c:pt>
                <c:pt idx="184">
                  <c:v>78.144803506108</c:v>
                </c:pt>
                <c:pt idx="185">
                  <c:v>76.964900511373</c:v>
                </c:pt>
                <c:pt idx="186">
                  <c:v>75.8575636938573</c:v>
                </c:pt>
                <c:pt idx="187">
                  <c:v>74.822413720769</c:v>
                </c:pt>
                <c:pt idx="188">
                  <c:v>73.8588742638558</c:v>
                </c:pt>
                <c:pt idx="189">
                  <c:v>72.966206263983</c:v>
                </c:pt>
                <c:pt idx="190">
                  <c:v>72.1435392916351</c:v>
                </c:pt>
                <c:pt idx="191">
                  <c:v>71.3898999557759</c:v>
                </c:pt>
                <c:pt idx="192">
                  <c:v>70.7042373846932</c:v>
                </c:pt>
                <c:pt idx="193">
                  <c:v>70.0854458583312</c:v>
                </c:pt>
                <c:pt idx="194">
                  <c:v>69.5323847137294</c:v>
                </c:pt>
                <c:pt idx="195">
                  <c:v>69.0438956752437</c:v>
                </c:pt>
                <c:pt idx="196">
                  <c:v>68.6188177809967</c:v>
                </c:pt>
                <c:pt idx="197">
                  <c:v>68.2560000881975</c:v>
                </c:pt>
                <c:pt idx="198">
                  <c:v>67.9543123442029</c:v>
                </c:pt>
                <c:pt idx="199">
                  <c:v>67.7126538089218</c:v>
                </c:pt>
                <c:pt idx="200">
                  <c:v>67.5299604086774</c:v>
                </c:pt>
                <c:pt idx="201">
                  <c:v>67.4052103930514</c:v>
                </c:pt>
                <c:pt idx="202">
                  <c:v>67.3374286554726</c:v>
                </c:pt>
                <c:pt idx="203">
                  <c:v>67.3256898661558</c:v>
                </c:pt>
                <c:pt idx="204">
                  <c:v>67.3691205530526</c:v>
                </c:pt>
                <c:pt idx="205">
                  <c:v>67.4669002532507</c:v>
                </c:pt>
                <c:pt idx="206">
                  <c:v>67.6182618441023</c:v>
                </c:pt>
                <c:pt idx="207">
                  <c:v>67.8224911505752</c:v>
                </c:pt>
                <c:pt idx="208">
                  <c:v>68.0789259130798</c:v>
                </c:pt>
                <c:pt idx="209">
                  <c:v>68.3869541884703</c:v>
                </c:pt>
                <c:pt idx="210">
                  <c:v>68.7460122461307</c:v>
                </c:pt>
                <c:pt idx="211">
                  <c:v>69.1555820110665</c:v>
                </c:pt>
                <c:pt idx="212">
                  <c:v>69.6151880967469</c:v>
                </c:pt>
                <c:pt idx="213">
                  <c:v>70.1243944620659</c:v>
                </c:pt>
                <c:pt idx="214">
                  <c:v>70.6828007191745</c:v>
                </c:pt>
                <c:pt idx="215">
                  <c:v>71.290038112063</c:v>
                </c:pt>
                <c:pt idx="216">
                  <c:v>71.9457651795698</c:v>
                </c:pt>
                <c:pt idx="217">
                  <c:v>72.6496631109407</c:v>
                </c:pt>
                <c:pt idx="218">
                  <c:v>73.4014307970975</c:v>
                </c:pt>
                <c:pt idx="219">
                  <c:v>74.200779576361</c:v>
                </c:pt>
                <c:pt idx="220">
                  <c:v>75.0474276694728</c:v>
                </c:pt>
                <c:pt idx="221">
                  <c:v>75.9410942953388</c:v>
                </c:pt>
                <c:pt idx="222">
                  <c:v>76.8814934559511</c:v>
                </c:pt>
                <c:pt idx="223">
                  <c:v>77.8683273764144</c:v>
                </c:pt>
                <c:pt idx="224">
                  <c:v>78.9012795839018</c:v>
                </c:pt>
                <c:pt idx="225">
                  <c:v>79.9800076076944</c:v>
                </c:pt>
                <c:pt idx="226">
                  <c:v>81.1041352812227</c:v>
                </c:pt>
                <c:pt idx="227">
                  <c:v>82.2732446262595</c:v>
                </c:pt>
                <c:pt idx="228">
                  <c:v>83.4868672991314</c:v>
                </c:pt>
                <c:pt idx="229">
                  <c:v>84.7444755790796</c:v>
                </c:pt>
                <c:pt idx="230">
                  <c:v>86.0454728797533</c:v>
                </c:pt>
                <c:pt idx="231">
                  <c:v>87.3891837663493</c:v>
                </c:pt>
                <c:pt idx="232">
                  <c:v>88.7748434631855</c:v>
                </c:pt>
                <c:pt idx="233">
                  <c:v>90.2015868396426</c:v>
                </c:pt>
                <c:pt idx="234">
                  <c:v>91.66843686652</c:v>
                </c:pt>
                <c:pt idx="235">
                  <c:v>93.1742925400838</c:v>
                </c:pt>
                <c:pt idx="236">
                  <c:v>94.717916277586</c:v>
                </c:pt>
                <c:pt idx="237">
                  <c:v>96.2979207959694</c:v>
                </c:pt>
                <c:pt idx="238">
                  <c:v>97.9127554950433</c:v>
                </c:pt>
                <c:pt idx="239">
                  <c:v>99.5606923778184</c:v>
                </c:pt>
                <c:pt idx="240">
                  <c:v>101.239811554145</c:v>
                </c:pt>
                <c:pt idx="241">
                  <c:v>102.947986389544</c:v>
                </c:pt>
                <c:pt idx="242">
                  <c:v>104.682868379381</c:v>
                </c:pt>
                <c:pt idx="243">
                  <c:v>106.441871849567</c:v>
                </c:pt>
                <c:pt idx="244">
                  <c:v>108.222158608956</c:v>
                </c:pt>
                <c:pt idx="245">
                  <c:v>110.020622705814</c:v>
                </c:pt>
                <c:pt idx="246">
                  <c:v>111.833875471275</c:v>
                </c:pt>
                <c:pt idx="247">
                  <c:v>113.658231066672</c:v>
                </c:pt>
                <c:pt idx="248">
                  <c:v>115.489692789113</c:v>
                </c:pt>
                <c:pt idx="249">
                  <c:v>117.323940430492</c:v>
                </c:pt>
                <c:pt idx="250">
                  <c:v>119.156319029112</c:v>
                </c:pt>
                <c:pt idx="251">
                  <c:v>120.981829399716</c:v>
                </c:pt>
                <c:pt idx="252">
                  <c:v>122.795120876413</c:v>
                </c:pt>
                <c:pt idx="253">
                  <c:v>124.590486752618</c:v>
                </c:pt>
                <c:pt idx="254">
                  <c:v>126.361862951507</c:v>
                </c:pt>
                <c:pt idx="255">
                  <c:v>128.102830507764</c:v>
                </c:pt>
                <c:pt idx="256">
                  <c:v>129.806622484412</c:v>
                </c:pt>
                <c:pt idx="257">
                  <c:v>131.466135984468</c:v>
                </c:pt>
                <c:pt idx="258">
                  <c:v>133.073949942884</c:v>
                </c:pt>
                <c:pt idx="259">
                  <c:v>134.622349395672</c:v>
                </c:pt>
                <c:pt idx="260">
                  <c:v>136.103356916035</c:v>
                </c:pt>
                <c:pt idx="261">
                  <c:v>137.50877187682</c:v>
                </c:pt>
                <c:pt idx="262">
                  <c:v>138.830218139317</c:v>
                </c:pt>
                <c:pt idx="263">
                  <c:v>140.059200675236</c:v>
                </c:pt>
                <c:pt idx="264">
                  <c:v>141.187171496142</c:v>
                </c:pt>
                <c:pt idx="265">
                  <c:v>142.205605088305</c:v>
                </c:pt>
                <c:pt idx="266">
                  <c:v>143.106083327008</c:v>
                </c:pt>
                <c:pt idx="267">
                  <c:v>143.880389571127</c:v>
                </c:pt>
                <c:pt idx="268">
                  <c:v>144.520611316469</c:v>
                </c:pt>
                <c:pt idx="269">
                  <c:v>145.019250418438</c:v>
                </c:pt>
                <c:pt idx="270">
                  <c:v>145.369339488253</c:v>
                </c:pt>
                <c:pt idx="271">
                  <c:v>145.564562633717</c:v>
                </c:pt>
                <c:pt idx="272">
                  <c:v>145.59937827171</c:v>
                </c:pt>
                <c:pt idx="273">
                  <c:v>145.469141306392</c:v>
                </c:pt>
                <c:pt idx="274">
                  <c:v>145.170221570243</c:v>
                </c:pt>
                <c:pt idx="275">
                  <c:v>144.700115094068</c:v>
                </c:pt>
                <c:pt idx="276">
                  <c:v>144.057544538484</c:v>
                </c:pt>
                <c:pt idx="277">
                  <c:v>143.242545015035</c:v>
                </c:pt>
                <c:pt idx="278">
                  <c:v>142.256531579005</c:v>
                </c:pt>
                <c:pt idx="279">
                  <c:v>141.102344911662</c:v>
                </c:pt>
                <c:pt idx="280">
                  <c:v>139.784272141389</c:v>
                </c:pt>
                <c:pt idx="281">
                  <c:v>138.308040383306</c:v>
                </c:pt>
                <c:pt idx="282">
                  <c:v>136.68078139341</c:v>
                </c:pt>
                <c:pt idx="283">
                  <c:v>134.9109667078</c:v>
                </c:pt>
                <c:pt idx="284">
                  <c:v>133.008313726788</c:v>
                </c:pt>
                <c:pt idx="285">
                  <c:v>130.983664349921</c:v>
                </c:pt>
                <c:pt idx="286">
                  <c:v>128.848838903811</c:v>
                </c:pt>
                <c:pt idx="287">
                  <c:v>126.616469157686</c:v>
                </c:pt>
                <c:pt idx="288">
                  <c:v>124.299815120845</c:v>
                </c:pt>
                <c:pt idx="289">
                  <c:v>121.912570999064</c:v>
                </c:pt>
                <c:pt idx="290">
                  <c:v>119.468666105245</c:v>
                </c:pt>
                <c:pt idx="291">
                  <c:v>116.982066644583</c:v>
                </c:pt>
                <c:pt idx="292">
                  <c:v>114.466584119993</c:v>
                </c:pt>
                <c:pt idx="293">
                  <c:v>111.935695646567</c:v>
                </c:pt>
                <c:pt idx="294">
                  <c:v>109.40238076231</c:v>
                </c:pt>
                <c:pt idx="295">
                  <c:v>106.878978431564</c:v>
                </c:pt>
                <c:pt idx="296">
                  <c:v>104.377066923471</c:v>
                </c:pt>
                <c:pt idx="297">
                  <c:v>101.907368181323</c:v>
                </c:pt>
                <c:pt idx="298">
                  <c:v>99.4796772482755</c:v>
                </c:pt>
                <c:pt idx="299">
                  <c:v>97.1028163413303</c:v>
                </c:pt>
                <c:pt idx="300">
                  <c:v>94.7846123171794</c:v>
                </c:pt>
                <c:pt idx="301">
                  <c:v>92.5318955839143</c:v>
                </c:pt>
                <c:pt idx="302">
                  <c:v>90.3505179998163</c:v>
                </c:pt>
                <c:pt idx="303">
                  <c:v>88.2453869675998</c:v>
                </c:pt>
                <c:pt idx="304">
                  <c:v>86.2205127702737</c:v>
                </c:pt>
                <c:pt idx="305">
                  <c:v>84.2790661842132</c:v>
                </c:pt>
                <c:pt idx="306">
                  <c:v>82.4234435206944</c:v>
                </c:pt>
                <c:pt idx="307">
                  <c:v>80.6553364604628</c:v>
                </c:pt>
                <c:pt idx="308">
                  <c:v>78.9758043278549</c:v>
                </c:pt>
                <c:pt idx="309">
                  <c:v>77.3853467743298</c:v>
                </c:pt>
                <c:pt idx="310">
                  <c:v>75.8839751820944</c:v>
                </c:pt>
                <c:pt idx="311">
                  <c:v>74.4712814370981</c:v>
                </c:pt>
                <c:pt idx="312">
                  <c:v>73.1465030419161</c:v>
                </c:pt>
                <c:pt idx="313">
                  <c:v>71.9085838322203</c:v>
                </c:pt>
                <c:pt idx="314">
                  <c:v>70.7562298190026</c:v>
                </c:pt>
                <c:pt idx="315">
                  <c:v>69.6879598992221</c:v>
                </c:pt>
                <c:pt idx="316">
                  <c:v>68.7021513595912</c:v>
                </c:pt>
                <c:pt idx="317">
                  <c:v>67.7970802433205</c:v>
                </c:pt>
                <c:pt idx="318">
                  <c:v>66.9709567607611</c:v>
                </c:pt>
                <c:pt idx="319">
                  <c:v>66.2219560057907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'②食物链-LotkaVolterra'!$G$3</c:f>
              <c:strCache>
                <c:ptCount val="1"/>
                <c:pt idx="0">
                  <c:v>Y 小人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'②食物链-LotkaVolterra'!$E$4:$E$323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cat>
          <c:val>
            <c:numRef>
              <c:f>'②食物链-LotkaVolterra'!$G$4:$G$323</c:f>
              <c:numCache>
                <c:formatCode>General</c:formatCode>
                <c:ptCount val="320"/>
                <c:pt idx="0">
                  <c:v>40</c:v>
                </c:pt>
                <c:pt idx="1">
                  <c:v>40.4</c:v>
                </c:pt>
                <c:pt idx="2">
                  <c:v>40.82824</c:v>
                </c:pt>
                <c:pt idx="3">
                  <c:v>41.2847715809024</c:v>
                </c:pt>
                <c:pt idx="4">
                  <c:v>41.7695747075412</c:v>
                </c:pt>
                <c:pt idx="5">
                  <c:v>42.2825471859397</c:v>
                </c:pt>
                <c:pt idx="6">
                  <c:v>42.8234934825558</c:v>
                </c:pt>
                <c:pt idx="7">
                  <c:v>43.3921129854194</c:v>
                </c:pt>
                <c:pt idx="8">
                  <c:v>43.9879878147011</c:v>
                </c:pt>
                <c:pt idx="9">
                  <c:v>44.6105703208827</c:v>
                </c:pt>
                <c:pt idx="10">
                  <c:v>45.2591704419102</c:v>
                </c:pt>
                <c:pt idx="11">
                  <c:v>45.9329431258623</c:v>
                </c:pt>
                <c:pt idx="12">
                  <c:v>46.6308760618401</c:v>
                </c:pt>
                <c:pt idx="13">
                  <c:v>47.3517779978128</c:v>
                </c:pt>
                <c:pt idx="14">
                  <c:v>48.0942679585366</c:v>
                </c:pt>
                <c:pt idx="15">
                  <c:v>48.8567657076574</c:v>
                </c:pt>
                <c:pt idx="16">
                  <c:v>49.6374838236861</c:v>
                </c:pt>
                <c:pt idx="17">
                  <c:v>50.4344217774915</c:v>
                </c:pt>
                <c:pt idx="18">
                  <c:v>51.2453624069813</c:v>
                </c:pt>
                <c:pt idx="19">
                  <c:v>52.0678711804253</c:v>
                </c:pt>
                <c:pt idx="20">
                  <c:v>52.8992986212868</c:v>
                </c:pt>
                <c:pt idx="21">
                  <c:v>53.7367862326697</c:v>
                </c:pt>
                <c:pt idx="22">
                  <c:v>54.5772762072917</c:v>
                </c:pt>
                <c:pt idx="23">
                  <c:v>55.4175251387271</c:v>
                </c:pt>
                <c:pt idx="24">
                  <c:v>56.2541218618841</c:v>
                </c:pt>
                <c:pt idx="25">
                  <c:v>57.083509446726</c:v>
                </c:pt>
                <c:pt idx="26">
                  <c:v>57.9020112516686</c:v>
                </c:pt>
                <c:pt idx="27">
                  <c:v>58.7058608156133</c:v>
                </c:pt>
                <c:pt idx="28">
                  <c:v>59.491235235016</c:v>
                </c:pt>
                <c:pt idx="29">
                  <c:v>60.2542915404395</c:v>
                </c:pt>
                <c:pt idx="30">
                  <c:v>60.9912054620302</c:v>
                </c:pt>
                <c:pt idx="31">
                  <c:v>61.6982118618594</c:v>
                </c:pt>
                <c:pt idx="32">
                  <c:v>62.3716460194978</c:v>
                </c:pt>
                <c:pt idx="33">
                  <c:v>63.0079848912632</c:v>
                </c:pt>
                <c:pt idx="34">
                  <c:v>63.6038874279731</c:v>
                </c:pt>
                <c:pt idx="35">
                  <c:v>64.1562330338558</c:v>
                </c:pt>
                <c:pt idx="36">
                  <c:v>64.6621572818754</c:v>
                </c:pt>
                <c:pt idx="37">
                  <c:v>65.1190840674487</c:v>
                </c:pt>
                <c:pt idx="38">
                  <c:v>65.5247534807467</c:v>
                </c:pt>
                <c:pt idx="39">
                  <c:v>65.8772448030092</c:v>
                </c:pt>
                <c:pt idx="40">
                  <c:v>66.1749941785462</c:v>
                </c:pt>
                <c:pt idx="41">
                  <c:v>66.4168066742378</c:v>
                </c:pt>
                <c:pt idx="42">
                  <c:v>66.6018626046614</c:v>
                </c:pt>
                <c:pt idx="43">
                  <c:v>66.7297181656701</c:v>
                </c:pt>
                <c:pt idx="44">
                  <c:v>66.8003005750122</c:v>
                </c:pt>
                <c:pt idx="45">
                  <c:v>66.8138980589775</c:v>
                </c:pt>
                <c:pt idx="46">
                  <c:v>66.7711451439512</c:v>
                </c:pt>
                <c:pt idx="47">
                  <c:v>66.6730038074791</c:v>
                </c:pt>
                <c:pt idx="48">
                  <c:v>66.5207411129339</c:v>
                </c:pt>
                <c:pt idx="49">
                  <c:v>66.3159039946157</c:v>
                </c:pt>
                <c:pt idx="50">
                  <c:v>66.0602918770156</c:v>
                </c:pt>
                <c:pt idx="51">
                  <c:v>65.7559278051211</c:v>
                </c:pt>
                <c:pt idx="52">
                  <c:v>65.4050287350452</c:v>
                </c:pt>
                <c:pt idx="53">
                  <c:v>65.0099755895363</c:v>
                </c:pt>
                <c:pt idx="54">
                  <c:v>64.5732836249943</c:v>
                </c:pt>
                <c:pt idx="55">
                  <c:v>64.0975735894539</c:v>
                </c:pt>
                <c:pt idx="56">
                  <c:v>63.5855440783871</c:v>
                </c:pt>
                <c:pt idx="57">
                  <c:v>63.0399454205504</c:v>
                </c:pt>
                <c:pt idx="58">
                  <c:v>62.4635553524203</c:v>
                </c:pt>
                <c:pt idx="59">
                  <c:v>61.8591566694323</c:v>
                </c:pt>
                <c:pt idx="60">
                  <c:v>61.229516977121</c:v>
                </c:pt>
                <c:pt idx="61">
                  <c:v>60.577370606651</c:v>
                </c:pt>
                <c:pt idx="62">
                  <c:v>59.9054027079365</c:v>
                </c:pt>
                <c:pt idx="63">
                  <c:v>59.2162354899412</c:v>
                </c:pt>
                <c:pt idx="64">
                  <c:v>58.5124165418216</c:v>
                </c:pt>
                <c:pt idx="65">
                  <c:v>57.7964091400517</c:v>
                </c:pt>
                <c:pt idx="66">
                  <c:v>57.0705844250314</c:v>
                </c:pt>
                <c:pt idx="67">
                  <c:v>56.3372153153036</c:v>
                </c:pt>
                <c:pt idx="68">
                  <c:v>55.598472017645</c:v>
                </c:pt>
                <c:pt idx="69">
                  <c:v>54.8564189861874</c:v>
                </c:pt>
                <c:pt idx="70">
                  <c:v>54.1130131826076</c:v>
                </c:pt>
                <c:pt idx="71">
                  <c:v>53.3701034915541</c:v>
                </c:pt>
                <c:pt idx="72">
                  <c:v>52.6294311501852</c:v>
                </c:pt>
                <c:pt idx="73">
                  <c:v>51.8926310573514</c:v>
                </c:pt>
                <c:pt idx="74">
                  <c:v>51.1612338360294</c:v>
                </c:pt>
                <c:pt idx="75">
                  <c:v>50.4366685316361</c:v>
                </c:pt>
                <c:pt idx="76">
                  <c:v>49.7202658384234</c:v>
                </c:pt>
                <c:pt idx="77">
                  <c:v>49.0132617559563</c:v>
                </c:pt>
                <c:pt idx="78">
                  <c:v>48.3168015874511</c:v>
                </c:pt>
                <c:pt idx="79">
                  <c:v>47.6319442012827</c:v>
                </c:pt>
                <c:pt idx="80">
                  <c:v>46.9596664861219</c:v>
                </c:pt>
                <c:pt idx="81">
                  <c:v>46.3008679388133</c:v>
                </c:pt>
                <c:pt idx="82">
                  <c:v>45.6563753321826</c:v>
                </c:pt>
                <c:pt idx="83">
                  <c:v>45.0269474174171</c:v>
                </c:pt>
                <c:pt idx="84">
                  <c:v>44.413279622486</c:v>
                </c:pt>
                <c:pt idx="85">
                  <c:v>43.8160087142347</c:v>
                </c:pt>
                <c:pt idx="86">
                  <c:v>43.2357173973314</c:v>
                </c:pt>
                <c:pt idx="87">
                  <c:v>42.6729388281684</c:v>
                </c:pt>
                <c:pt idx="88">
                  <c:v>42.128161026164</c:v>
                </c:pt>
                <c:pt idx="89">
                  <c:v>41.6018311687023</c:v>
                </c:pt>
                <c:pt idx="90">
                  <c:v>41.0943597592216</c:v>
                </c:pt>
                <c:pt idx="91">
                  <c:v>40.6061246607583</c:v>
                </c:pt>
                <c:pt idx="92">
                  <c:v>40.1374749896016</c:v>
                </c:pt>
                <c:pt idx="93">
                  <c:v>39.6887348656549</c:v>
                </c:pt>
                <c:pt idx="94">
                  <c:v>39.2602070176608</c:v>
                </c:pt>
                <c:pt idx="95">
                  <c:v>38.8521762426606</c:v>
                </c:pt>
                <c:pt idx="96">
                  <c:v>38.4649127199446</c:v>
                </c:pt>
                <c:pt idx="97">
                  <c:v>38.0986751803433</c:v>
                </c:pt>
                <c:pt idx="98">
                  <c:v>37.7537139320123</c:v>
                </c:pt>
                <c:pt idx="99">
                  <c:v>37.430273743908</c:v>
                </c:pt>
                <c:pt idx="100">
                  <c:v>37.1285965879375</c:v>
                </c:pt>
                <c:pt idx="101">
                  <c:v>36.8489242403088</c:v>
                </c:pt>
                <c:pt idx="102">
                  <c:v>36.5915007419071</c:v>
                </c:pt>
                <c:pt idx="103">
                  <c:v>36.3565747165878</c:v>
                </c:pt>
                <c:pt idx="104">
                  <c:v>36.1444015450983</c:v>
                </c:pt>
                <c:pt idx="105">
                  <c:v>35.9552453909204</c:v>
                </c:pt>
                <c:pt idx="106">
                  <c:v>35.7893810726535</c:v>
                </c:pt>
                <c:pt idx="107">
                  <c:v>35.6470957756335</c:v>
                </c:pt>
                <c:pt idx="108">
                  <c:v>35.5286905932824</c:v>
                </c:pt>
                <c:pt idx="109">
                  <c:v>35.4344818862179</c:v>
                </c:pt>
                <c:pt idx="110">
                  <c:v>35.3648024443882</c:v>
                </c:pt>
                <c:pt idx="111">
                  <c:v>35.3200024344516</c:v>
                </c:pt>
                <c:pt idx="112">
                  <c:v>35.3004501112661</c:v>
                </c:pt>
                <c:pt idx="113">
                  <c:v>35.3065322687071</c:v>
                </c:pt>
                <c:pt idx="114">
                  <c:v>35.3386544010899</c:v>
                </c:pt>
                <c:pt idx="115">
                  <c:v>35.3972405422525</c:v>
                </c:pt>
                <c:pt idx="116">
                  <c:v>35.4827327448879</c:v>
                </c:pt>
                <c:pt idx="117">
                  <c:v>35.5955901580387</c:v>
                </c:pt>
                <c:pt idx="118">
                  <c:v>35.7362876558475</c:v>
                </c:pt>
                <c:pt idx="119">
                  <c:v>35.9053139657787</c:v>
                </c:pt>
                <c:pt idx="120">
                  <c:v>36.1031692397097</c:v>
                </c:pt>
                <c:pt idx="121">
                  <c:v>36.3303620066758</c:v>
                </c:pt>
                <c:pt idx="122">
                  <c:v>36.5874054418386</c:v>
                </c:pt>
                <c:pt idx="123">
                  <c:v>36.8748128826699</c:v>
                </c:pt>
                <c:pt idx="124">
                  <c:v>37.1930925206778</c:v>
                </c:pt>
                <c:pt idx="125">
                  <c:v>37.5427411956141</c:v>
                </c:pt>
                <c:pt idx="126">
                  <c:v>37.9242372193726</c:v>
                </c:pt>
                <c:pt idx="127">
                  <c:v>38.3380321592006</c:v>
                </c:pt>
                <c:pt idx="128">
                  <c:v>38.78454151492</c:v>
                </c:pt>
                <c:pt idx="129">
                  <c:v>39.2641342331683</c:v>
                </c:pt>
                <c:pt idx="130">
                  <c:v>39.777121013852</c:v>
                </c:pt>
                <c:pt idx="131">
                  <c:v>40.3237413807028</c:v>
                </c:pt>
                <c:pt idx="132">
                  <c:v>40.9041495096841</c:v>
                </c:pt>
                <c:pt idx="133">
                  <c:v>41.5183988366265</c:v>
                </c:pt>
                <c:pt idx="134">
                  <c:v>42.166425499391</c:v>
                </c:pt>
                <c:pt idx="135">
                  <c:v>42.8480307104468</c:v>
                </c:pt>
                <c:pt idx="136">
                  <c:v>43.562862203164</c:v>
                </c:pt>
                <c:pt idx="137">
                  <c:v>44.3103949492149</c:v>
                </c:pt>
                <c:pt idx="138">
                  <c:v>45.0899114047228</c:v>
                </c:pt>
                <c:pt idx="139">
                  <c:v>45.9004816081762</c:v>
                </c:pt>
                <c:pt idx="140">
                  <c:v>46.7409435220661</c:v>
                </c:pt>
                <c:pt idx="141">
                  <c:v>47.6098840804716</c:v>
                </c:pt>
                <c:pt idx="142">
                  <c:v>48.5056214735131</c:v>
                </c:pt>
                <c:pt idx="143">
                  <c:v>49.4261892631068</c:v>
                </c:pt>
                <c:pt idx="144">
                  <c:v>50.3693229785307</c:v>
                </c:pt>
                <c:pt idx="145">
                  <c:v>51.3324498801906</c:v>
                </c:pt>
                <c:pt idx="146">
                  <c:v>52.3126826005288</c:v>
                </c:pt>
                <c:pt idx="147">
                  <c:v>53.3068173671107</c:v>
                </c:pt>
                <c:pt idx="148">
                  <c:v>54.3113374797312</c:v>
                </c:pt>
                <c:pt idx="149">
                  <c:v>55.3224226468387</c:v>
                </c:pt>
                <c:pt idx="150">
                  <c:v>56.3359646839021</c:v>
                </c:pt>
                <c:pt idx="151">
                  <c:v>57.3475899364977</c:v>
                </c:pt>
                <c:pt idx="152">
                  <c:v>58.3526886150464</c:v>
                </c:pt>
                <c:pt idx="153">
                  <c:v>59.3464510200433</c:v>
                </c:pt>
                <c:pt idx="154">
                  <c:v>60.3239104027691</c:v>
                </c:pt>
                <c:pt idx="155">
                  <c:v>61.279991956088</c:v>
                </c:pt>
                <c:pt idx="156">
                  <c:v>62.2095671746442</c:v>
                </c:pt>
                <c:pt idx="157">
                  <c:v>63.1075125770296</c:v>
                </c:pt>
                <c:pt idx="158">
                  <c:v>63.9687715587903</c:v>
                </c:pt>
                <c:pt idx="159">
                  <c:v>64.7884179588373</c:v>
                </c:pt>
                <c:pt idx="160">
                  <c:v>65.5617197861117</c:v>
                </c:pt>
                <c:pt idx="161">
                  <c:v>66.2842014789326</c:v>
                </c:pt>
                <c:pt idx="162">
                  <c:v>66.9517030636068</c:v>
                </c:pt>
                <c:pt idx="163">
                  <c:v>67.5604346445744</c:v>
                </c:pt>
                <c:pt idx="164">
                  <c:v>68.1070247938935</c:v>
                </c:pt>
                <c:pt idx="165">
                  <c:v>68.5885616068111</c:v>
                </c:pt>
                <c:pt idx="166">
                  <c:v>69.002625441839</c:v>
                </c:pt>
                <c:pt idx="167">
                  <c:v>69.347312654071</c:v>
                </c:pt>
                <c:pt idx="168">
                  <c:v>69.6212499430789</c:v>
                </c:pt>
                <c:pt idx="169">
                  <c:v>69.8235992543675</c:v>
                </c:pt>
                <c:pt idx="170">
                  <c:v>69.9540534792359</c:v>
                </c:pt>
                <c:pt idx="171">
                  <c:v>70.0128234768966</c:v>
                </c:pt>
                <c:pt idx="172">
                  <c:v>70.0006171824918</c:v>
                </c:pt>
                <c:pt idx="173">
                  <c:v>69.9186117562563</c:v>
                </c:pt>
                <c:pt idx="174">
                  <c:v>69.768419867344</c:v>
                </c:pt>
                <c:pt idx="175">
                  <c:v>69.5520512892658</c:v>
                </c:pt>
                <c:pt idx="176">
                  <c:v>69.2718710144127</c:v>
                </c:pt>
                <c:pt idx="177">
                  <c:v>68.9305550774871</c:v>
                </c:pt>
                <c:pt idx="178">
                  <c:v>68.5310452186591</c:v>
                </c:pt>
                <c:pt idx="179">
                  <c:v>68.0765034250608</c:v>
                </c:pt>
                <c:pt idx="180">
                  <c:v>67.5702672725638</c:v>
                </c:pt>
                <c:pt idx="181">
                  <c:v>67.0158068572971</c:v>
                </c:pt>
                <c:pt idx="182">
                  <c:v>66.4166839661031</c:v>
                </c:pt>
                <c:pt idx="183">
                  <c:v>65.7765139941385</c:v>
                </c:pt>
                <c:pt idx="184">
                  <c:v>65.0989309819273</c:v>
                </c:pt>
                <c:pt idx="185">
                  <c:v>64.3875560178511</c:v>
                </c:pt>
                <c:pt idx="186">
                  <c:v>63.6459691385008</c:v>
                </c:pt>
                <c:pt idx="187">
                  <c:v>62.8776847604663</c:v>
                </c:pt>
                <c:pt idx="188">
                  <c:v>62.0861305939188</c:v>
                </c:pt>
                <c:pt idx="189">
                  <c:v>61.2746299207557</c:v>
                </c:pt>
                <c:pt idx="190">
                  <c:v>60.4463870674914</c:v>
                </c:pt>
                <c:pt idx="191">
                  <c:v>59.6044758643373</c:v>
                </c:pt>
                <c:pt idx="192">
                  <c:v>58.7518308555562</c:v>
                </c:pt>
                <c:pt idx="193">
                  <c:v>57.8912410105767</c:v>
                </c:pt>
                <c:pt idx="194">
                  <c:v>57.025345678807</c:v>
                </c:pt>
                <c:pt idx="195">
                  <c:v>56.1566325319528</c:v>
                </c:pt>
                <c:pt idx="196">
                  <c:v>55.2874372443597</c:v>
                </c:pt>
                <c:pt idx="197">
                  <c:v>54.4199446730663</c:v>
                </c:pt>
                <c:pt idx="198">
                  <c:v>53.5561913136152</c:v>
                </c:pt>
                <c:pt idx="199">
                  <c:v>52.6980688241801</c:v>
                </c:pt>
                <c:pt idx="200">
                  <c:v>51.8473284283163</c:v>
                </c:pt>
                <c:pt idx="201">
                  <c:v>51.0055860249304</c:v>
                </c:pt>
                <c:pt idx="202">
                  <c:v>50.1743278522996</c:v>
                </c:pt>
                <c:pt idx="203">
                  <c:v>49.3549165707299</c:v>
                </c:pt>
                <c:pt idx="204">
                  <c:v>48.5485976453988</c:v>
                </c:pt>
                <c:pt idx="205">
                  <c:v>47.7565059268562</c:v>
                </c:pt>
                <c:pt idx="206">
                  <c:v>46.9796723414188</c:v>
                </c:pt>
                <c:pt idx="207">
                  <c:v>46.219030617214</c:v>
                </c:pt>
                <c:pt idx="208">
                  <c:v>45.4754239838654</c:v>
                </c:pt>
                <c:pt idx="209">
                  <c:v>44.7496117948038</c:v>
                </c:pt>
                <c:pt idx="210">
                  <c:v>44.0422760309452</c:v>
                </c:pt>
                <c:pt idx="211">
                  <c:v>43.3540276530833</c:v>
                </c:pt>
                <c:pt idx="212">
                  <c:v>42.6854127778656</c:v>
                </c:pt>
                <c:pt idx="213">
                  <c:v>42.0369186587315</c:v>
                </c:pt>
                <c:pt idx="214">
                  <c:v>41.4089794587923</c:v>
                </c:pt>
                <c:pt idx="215">
                  <c:v>40.8019818073878</c:v>
                </c:pt>
                <c:pt idx="216">
                  <c:v>40.2162701360666</c:v>
                </c:pt>
                <c:pt idx="217">
                  <c:v>39.652151793067</c:v>
                </c:pt>
                <c:pt idx="218">
                  <c:v>39.1099019381088</c:v>
                </c:pt>
                <c:pt idx="219">
                  <c:v>38.589768221499</c:v>
                </c:pt>
                <c:pt idx="220">
                  <c:v>38.0919752532772</c:v>
                </c:pt>
                <c:pt idx="221">
                  <c:v>37.6167288694172</c:v>
                </c:pt>
                <c:pt idx="222">
                  <c:v>37.1642202030237</c:v>
                </c:pt>
                <c:pt idx="223">
                  <c:v>36.7346295690396</c:v>
                </c:pt>
                <c:pt idx="224">
                  <c:v>36.3281301712543</c:v>
                </c:pt>
                <c:pt idx="225">
                  <c:v>35.9448916403928</c:v>
                </c:pt>
                <c:pt idx="226">
                  <c:v>35.5850834118014</c:v>
                </c:pt>
                <c:pt idx="227">
                  <c:v>35.2488779507235</c:v>
                </c:pt>
                <c:pt idx="228">
                  <c:v>34.9364538324078</c:v>
                </c:pt>
                <c:pt idx="229">
                  <c:v>34.6479986832916</c:v>
                </c:pt>
                <c:pt idx="230">
                  <c:v>34.3837119882672</c:v>
                </c:pt>
                <c:pt idx="231">
                  <c:v>34.1438077675496</c:v>
                </c:pt>
                <c:pt idx="232">
                  <c:v>33.9285171249128</c:v>
                </c:pt>
                <c:pt idx="233">
                  <c:v>33.7380906670182</c:v>
                </c:pt>
                <c:pt idx="234">
                  <c:v>33.5728007912197</c:v>
                </c:pt>
                <c:pt idx="235">
                  <c:v>33.4329438365398</c:v>
                </c:pt>
                <c:pt idx="236">
                  <c:v>33.3188420894638</c:v>
                </c:pt>
                <c:pt idx="237">
                  <c:v>33.2308456327386</c:v>
                </c:pt>
                <c:pt idx="238">
                  <c:v>33.1693340214639</c:v>
                </c:pt>
                <c:pt idx="239">
                  <c:v>33.1347177663793</c:v>
                </c:pt>
                <c:pt idx="240">
                  <c:v>33.1274395993425</c:v>
                </c:pt>
                <c:pt idx="241">
                  <c:v>33.1479754905297</c:v>
                </c:pt>
                <c:pt idx="242">
                  <c:v>33.1968353808232</c:v>
                </c:pt>
                <c:pt idx="243">
                  <c:v>33.2745635861734</c:v>
                </c:pt>
                <c:pt idx="244">
                  <c:v>33.3817388234096</c:v>
                </c:pt>
                <c:pt idx="245">
                  <c:v>33.518973799034</c:v>
                </c:pt>
                <c:pt idx="246">
                  <c:v>33.6869142939971</c:v>
                </c:pt>
                <c:pt idx="247">
                  <c:v>33.8862376683804</c:v>
                </c:pt>
                <c:pt idx="248">
                  <c:v>34.1176507004079</c:v>
                </c:pt>
                <c:pt idx="249">
                  <c:v>34.3818866644257</c:v>
                </c:pt>
                <c:pt idx="250">
                  <c:v>34.6797015426569</c:v>
                </c:pt>
                <c:pt idx="251">
                  <c:v>35.0118692559496</c:v>
                </c:pt>
                <c:pt idx="252">
                  <c:v>35.3791757897964</c:v>
                </c:pt>
                <c:pt idx="253">
                  <c:v>35.7824120841145</c:v>
                </c:pt>
                <c:pt idx="254">
                  <c:v>36.2223655492801</c:v>
                </c:pt>
                <c:pt idx="255">
                  <c:v>36.6998100674748</c:v>
                </c:pt>
                <c:pt idx="256">
                  <c:v>37.2154943384715</c:v>
                </c:pt>
                <c:pt idx="257">
                  <c:v>37.7701284336303</c:v>
                </c:pt>
                <c:pt idx="258">
                  <c:v>38.364368432352</c:v>
                </c:pt>
                <c:pt idx="259">
                  <c:v>38.998799032913</c:v>
                </c:pt>
                <c:pt idx="260">
                  <c:v>39.6739140559776</c:v>
                </c:pt>
                <c:pt idx="261">
                  <c:v>40.3900947956871</c:v>
                </c:pt>
                <c:pt idx="262">
                  <c:v>41.1475862215744</c:v>
                </c:pt>
                <c:pt idx="263">
                  <c:v>41.9464710960194</c:v>
                </c:pt>
                <c:pt idx="264">
                  <c:v>42.7866421476461</c:v>
                </c:pt>
                <c:pt idx="265">
                  <c:v>43.6677725315857</c:v>
                </c:pt>
                <c:pt idx="266">
                  <c:v>44.5892849128628</c:v>
                </c:pt>
                <c:pt idx="267">
                  <c:v>45.5503196283356</c:v>
                </c:pt>
                <c:pt idx="268">
                  <c:v>46.5497025135259</c:v>
                </c:pt>
                <c:pt idx="269">
                  <c:v>47.5859131197769</c:v>
                </c:pt>
                <c:pt idx="270">
                  <c:v>48.6570541893415</c:v>
                </c:pt>
                <c:pt idx="271">
                  <c:v>49.7608233943488</c:v>
                </c:pt>
                <c:pt idx="272">
                  <c:v>50.8944884714773</c:v>
                </c:pt>
                <c:pt idx="273">
                  <c:v>52.0548669873554</c:v>
                </c:pt>
                <c:pt idx="274">
                  <c:v>53.2383120387221</c:v>
                </c:pt>
                <c:pt idx="275">
                  <c:v>54.4407052141295</c:v>
                </c:pt>
                <c:pt idx="276">
                  <c:v>55.6574581085664</c:v>
                </c:pt>
                <c:pt idx="277">
                  <c:v>56.8835235783249</c:v>
                </c:pt>
                <c:pt idx="278">
                  <c:v>58.1134177427997</c:v>
                </c:pt>
                <c:pt idx="279">
                  <c:v>59.3412534788059</c:v>
                </c:pt>
                <c:pt idx="280">
                  <c:v>60.5607858127941</c:v>
                </c:pt>
                <c:pt idx="281">
                  <c:v>61.7654692047303</c:v>
                </c:pt>
                <c:pt idx="282">
                  <c:v>62.9485262490247</c:v>
                </c:pt>
                <c:pt idx="283">
                  <c:v>64.1030268142136</c:v>
                </c:pt>
                <c:pt idx="284">
                  <c:v>65.2219761317037</c:v>
                </c:pt>
                <c:pt idx="285">
                  <c:v>66.2984098567219</c:v>
                </c:pt>
                <c:pt idx="286">
                  <c:v>67.3254936956889</c:v>
                </c:pt>
                <c:pt idx="287">
                  <c:v>68.2966248565622</c:v>
                </c:pt>
                <c:pt idx="288">
                  <c:v>69.2055323610965</c:v>
                </c:pt>
                <c:pt idx="289">
                  <c:v>70.0463731819537</c:v>
                </c:pt>
                <c:pt idx="290">
                  <c:v>70.8138212447419</c:v>
                </c:pt>
                <c:pt idx="291">
                  <c:v>71.5031465654671</c:v>
                </c:pt>
                <c:pt idx="292">
                  <c:v>72.1102821656032</c:v>
                </c:pt>
                <c:pt idx="293">
                  <c:v>72.6318768970358</c:v>
                </c:pt>
                <c:pt idx="294">
                  <c:v>73.0653328854767</c:v>
                </c:pt>
                <c:pt idx="295">
                  <c:v>73.4088269256338</c:v>
                </c:pt>
                <c:pt idx="296">
                  <c:v>73.6613157941877</c:v>
                </c:pt>
                <c:pt idx="297">
                  <c:v>73.8225260486388</c:v>
                </c:pt>
                <c:pt idx="298">
                  <c:v>73.8929294172638</c:v>
                </c:pt>
                <c:pt idx="299">
                  <c:v>73.8737053310801</c:v>
                </c:pt>
                <c:pt idx="300">
                  <c:v>73.7666924851348</c:v>
                </c:pt>
                <c:pt idx="301">
                  <c:v>73.5743315354402</c:v>
                </c:pt>
                <c:pt idx="302">
                  <c:v>73.299601140315</c:v>
                </c:pt>
                <c:pt idx="303">
                  <c:v>72.9459495494029</c:v>
                </c:pt>
                <c:pt idx="304">
                  <c:v>72.5172238447858</c:v>
                </c:pt>
                <c:pt idx="305">
                  <c:v>72.0175987648336</c:v>
                </c:pt>
                <c:pt idx="306">
                  <c:v>71.4515068129567</c:v>
                </c:pt>
                <c:pt idx="307">
                  <c:v>70.823571090442</c:v>
                </c:pt>
                <c:pt idx="308">
                  <c:v>70.1385420137354</c:v>
                </c:pt>
                <c:pt idx="309">
                  <c:v>69.4012387980076</c:v>
                </c:pt>
                <c:pt idx="310">
                  <c:v>68.6164963235831</c:v>
                </c:pt>
                <c:pt idx="311">
                  <c:v>67.7891177594545</c:v>
                </c:pt>
                <c:pt idx="312">
                  <c:v>66.9238331050002</c:v>
                </c:pt>
                <c:pt idx="313">
                  <c:v>66.025263630646</c:v>
                </c:pt>
                <c:pt idx="314">
                  <c:v>65.0978920515281</c:v>
                </c:pt>
                <c:pt idx="315">
                  <c:v>64.146038154317</c:v>
                </c:pt>
                <c:pt idx="316">
                  <c:v>63.1738395138971</c:v>
                </c:pt>
                <c:pt idx="317">
                  <c:v>62.1852368803274</c:v>
                </c:pt>
                <c:pt idx="318">
                  <c:v>61.1839637836738</c:v>
                </c:pt>
                <c:pt idx="319">
                  <c:v>60.1735398909943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天 (day)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数量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f2cf87-3aa0-4195-a715-8efbb78672a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SIR 疫情曲线（感染峰值与最终死亡）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'③疾病-SIR'!$F$3</c:f>
              <c:strCache>
                <c:ptCount val="1"/>
                <c:pt idx="0">
                  <c:v>S 易感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'③疾病-SIR'!$E$4:$E$153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cat>
          <c:val>
            <c:numRef>
              <c:f>'③疾病-SIR'!$F$4:$F$153</c:f>
              <c:numCache>
                <c:formatCode>General</c:formatCode>
                <c:ptCount val="150"/>
                <c:pt idx="0">
                  <c:v>995</c:v>
                </c:pt>
                <c:pt idx="1">
                  <c:v>993.01</c:v>
                </c:pt>
                <c:pt idx="2">
                  <c:v>990.49172664</c:v>
                </c:pt>
                <c:pt idx="3">
                  <c:v>987.30865336228</c:v>
                </c:pt>
                <c:pt idx="4">
                  <c:v>983.291208713503</c:v>
                </c:pt>
                <c:pt idx="5">
                  <c:v>978.230126845314</c:v>
                </c:pt>
                <c:pt idx="6">
                  <c:v>971.869287851988</c:v>
                </c:pt>
                <c:pt idx="7">
                  <c:v>963.898580102771</c:v>
                </c:pt>
                <c:pt idx="8">
                  <c:v>953.947755680972</c:v>
                </c:pt>
                <c:pt idx="9">
                  <c:v>941.582884723063</c:v>
                </c:pt>
                <c:pt idx="10">
                  <c:v>926.307862297597</c:v>
                </c:pt>
                <c:pt idx="11">
                  <c:v>907.574431353449</c:v>
                </c:pt>
                <c:pt idx="12">
                  <c:v>884.805161869056</c:v>
                </c:pt>
                <c:pt idx="13">
                  <c:v>857.434326295484</c:v>
                </c:pt>
                <c:pt idx="14">
                  <c:v>824.970848903484</c:v>
                </c:pt>
                <c:pt idx="15">
                  <c:v>787.084376476241</c:v>
                </c:pt>
                <c:pt idx="16">
                  <c:v>743.708937249798</c:v>
                </c:pt>
                <c:pt idx="17">
                  <c:v>695.148452761908</c:v>
                </c:pt>
                <c:pt idx="18">
                  <c:v>642.156691976424</c:v>
                </c:pt>
                <c:pt idx="19">
                  <c:v>585.956712854248</c:v>
                </c:pt>
                <c:pt idx="20">
                  <c:v>528.169510409316</c:v>
                </c:pt>
                <c:pt idx="21">
                  <c:v>470.644189202431</c:v>
                </c:pt>
                <c:pt idx="22">
                  <c:v>415.218423968728</c:v>
                </c:pt>
                <c:pt idx="23">
                  <c:v>363.471202016085</c:v>
                </c:pt>
                <c:pt idx="24">
                  <c:v>316.538364647334</c:v>
                </c:pt>
                <c:pt idx="25">
                  <c:v>275.036712117723</c:v>
                </c:pt>
                <c:pt idx="26">
                  <c:v>239.098433320334</c:v>
                </c:pt>
                <c:pt idx="27">
                  <c:v>208.480496709393</c:v>
                </c:pt>
                <c:pt idx="28">
                  <c:v>182.700694097539</c:v>
                </c:pt>
                <c:pt idx="29">
                  <c:v>161.161673782756</c:v>
                </c:pt>
                <c:pt idx="30">
                  <c:v>143.243399490324</c:v>
                </c:pt>
                <c:pt idx="31">
                  <c:v>128.361035692173</c:v>
                </c:pt>
                <c:pt idx="32">
                  <c:v>115.994457916106</c:v>
                </c:pt>
                <c:pt idx="33">
                  <c:v>105.698291166264</c:v>
                </c:pt>
                <c:pt idx="34">
                  <c:v>97.1004320627071</c:v>
                </c:pt>
                <c:pt idx="35">
                  <c:v>89.8948121706936</c:v>
                </c:pt>
                <c:pt idx="36">
                  <c:v>83.8320248844158</c:v>
                </c:pt>
                <c:pt idx="37">
                  <c:v>78.7098348542109</c:v>
                </c:pt>
                <c:pt idx="38">
                  <c:v>74.3645459246373</c:v>
                </c:pt>
                <c:pt idx="39">
                  <c:v>70.6635928413639</c:v>
                </c:pt>
                <c:pt idx="40">
                  <c:v>67.4993981240543</c:v>
                </c:pt>
                <c:pt idx="41">
                  <c:v>64.7843841080758</c:v>
                </c:pt>
                <c:pt idx="42">
                  <c:v>62.4469744379232</c:v>
                </c:pt>
                <c:pt idx="43">
                  <c:v>60.4284123722926</c:v>
                </c:pt>
                <c:pt idx="44">
                  <c:v>58.6802384679912</c:v>
                </c:pt>
                <c:pt idx="45">
                  <c:v>57.1622933254005</c:v>
                </c:pt>
                <c:pt idx="46">
                  <c:v>55.8411350659922</c:v>
                </c:pt>
                <c:pt idx="47">
                  <c:v>54.6887829692527</c:v>
                </c:pt>
                <c:pt idx="48">
                  <c:v>53.6817171566785</c:v>
                </c:pt>
                <c:pt idx="49">
                  <c:v>52.8000792920396</c:v>
                </c:pt>
                <c:pt idx="50">
                  <c:v>52.0270313097387</c:v>
                </c:pt>
                <c:pt idx="51">
                  <c:v>51.3482386643458</c:v>
                </c:pt>
                <c:pt idx="52">
                  <c:v>50.7514519950332</c:v>
                </c:pt>
                <c:pt idx="53">
                  <c:v>50.2261668466343</c:v>
                </c:pt>
                <c:pt idx="54">
                  <c:v>49.7633455424612</c:v>
                </c:pt>
                <c:pt idx="55">
                  <c:v>49.3551887519714</c:v>
                </c:pt>
                <c:pt idx="56">
                  <c:v>48.9949469673254</c:v>
                </c:pt>
                <c:pt idx="57">
                  <c:v>48.6767641749568</c:v>
                </c:pt>
                <c:pt idx="58">
                  <c:v>48.3955476191511</c:v>
                </c:pt>
                <c:pt idx="59">
                  <c:v>48.1468588102413</c:v>
                </c:pt>
                <c:pt idx="60">
                  <c:v>47.9268219116288</c:v>
                </c:pt>
                <c:pt idx="61">
                  <c:v>47.7320464097169</c:v>
                </c:pt>
                <c:pt idx="62">
                  <c:v>47.5595615767554</c:v>
                </c:pt>
                <c:pt idx="63">
                  <c:v>47.4067607151772</c:v>
                </c:pt>
                <c:pt idx="64">
                  <c:v>47.2713535514393</c:v>
                </c:pt>
                <c:pt idx="65">
                  <c:v>47.1513254493465</c:v>
                </c:pt>
                <c:pt idx="66">
                  <c:v>47.0449023541128</c:v>
                </c:pt>
                <c:pt idx="67">
                  <c:v>46.9505205719502</c:v>
                </c:pt>
                <c:pt idx="68">
                  <c:v>46.866800645865</c:v>
                </c:pt>
                <c:pt idx="69">
                  <c:v>46.7925247144119</c:v>
                </c:pt>
                <c:pt idx="70">
                  <c:v>46.726616842542</c:v>
                </c:pt>
                <c:pt idx="71">
                  <c:v>46.6681258971777</c:v>
                </c:pt>
                <c:pt idx="72">
                  <c:v>46.6162106085286</c:v>
                </c:pt>
                <c:pt idx="73">
                  <c:v>46.5701265143973</c:v>
                </c:pt>
                <c:pt idx="74">
                  <c:v>46.5292145311704</c:v>
                </c:pt>
                <c:pt idx="75">
                  <c:v>46.4928909337066</c:v>
                </c:pt>
                <c:pt idx="76">
                  <c:v>46.4606385584097</c:v>
                </c:pt>
                <c:pt idx="77">
                  <c:v>46.4319990705972</c:v>
                </c:pt>
                <c:pt idx="78">
                  <c:v>46.4065661597894</c:v>
                </c:pt>
                <c:pt idx="79">
                  <c:v>46.3839795455231</c:v>
                </c:pt>
                <c:pt idx="80">
                  <c:v>46.3639196923452</c:v>
                </c:pt>
                <c:pt idx="81">
                  <c:v>46.3461031462748</c:v>
                </c:pt>
                <c:pt idx="82">
                  <c:v>46.3302784166321</c:v>
                </c:pt>
                <c:pt idx="83">
                  <c:v>46.316222337065</c:v>
                </c:pt>
                <c:pt idx="84">
                  <c:v>46.3037368481146</c:v>
                </c:pt>
                <c:pt idx="85">
                  <c:v>46.2926461509863</c:v>
                </c:pt>
                <c:pt idx="86">
                  <c:v>46.282794188509</c:v>
                </c:pt>
                <c:pt idx="87">
                  <c:v>46.2740424147304</c:v>
                </c:pt>
                <c:pt idx="88">
                  <c:v>46.2662678193283</c:v>
                </c:pt>
                <c:pt idx="89">
                  <c:v>46.2593611771395</c:v>
                </c:pt>
                <c:pt idx="90">
                  <c:v>46.2532254966852</c:v>
                </c:pt>
                <c:pt idx="91">
                  <c:v>46.2477746447047</c:v>
                </c:pt>
                <c:pt idx="92">
                  <c:v>46.2429321264358</c:v>
                </c:pt>
                <c:pt idx="93">
                  <c:v>46.2386300037789</c:v>
                </c:pt>
                <c:pt idx="94">
                  <c:v>46.2348079355729</c:v>
                </c:pt>
                <c:pt idx="95">
                  <c:v>46.2314123260576</c:v>
                </c:pt>
                <c:pt idx="96">
                  <c:v>46.2283955692129</c:v>
                </c:pt>
                <c:pt idx="97">
                  <c:v>46.2257153780891</c:v>
                </c:pt>
                <c:pt idx="98">
                  <c:v>46.2233341894998</c:v>
                </c:pt>
                <c:pt idx="99">
                  <c:v>46.2212186355512</c:v>
                </c:pt>
                <c:pt idx="100">
                  <c:v>46.2193390744609</c:v>
                </c:pt>
                <c:pt idx="101">
                  <c:v>46.2176691739791</c:v>
                </c:pt>
                <c:pt idx="102">
                  <c:v>46.2161855414867</c:v>
                </c:pt>
                <c:pt idx="103">
                  <c:v>46.2148673955192</c:v>
                </c:pt>
                <c:pt idx="104">
                  <c:v>46.2136962740589</c:v>
                </c:pt>
                <c:pt idx="105">
                  <c:v>46.2126557754669</c:v>
                </c:pt>
                <c:pt idx="106">
                  <c:v>46.2117313283919</c:v>
                </c:pt>
                <c:pt idx="107">
                  <c:v>46.2109099874055</c:v>
                </c:pt>
                <c:pt idx="108">
                  <c:v>46.2101802514818</c:v>
                </c:pt>
                <c:pt idx="109">
                  <c:v>46.2095319027623</c:v>
                </c:pt>
                <c:pt idx="110">
                  <c:v>46.208955863334</c:v>
                </c:pt>
                <c:pt idx="111">
                  <c:v>46.2084440680065</c:v>
                </c:pt>
                <c:pt idx="112">
                  <c:v>46.2079893512969</c:v>
                </c:pt>
                <c:pt idx="113">
                  <c:v>46.2075853470345</c:v>
                </c:pt>
                <c:pt idx="114">
                  <c:v>46.2072263991747</c:v>
                </c:pt>
                <c:pt idx="115">
                  <c:v>46.2069074825686</c:v>
                </c:pt>
                <c:pt idx="116">
                  <c:v>46.2066241325762</c:v>
                </c:pt>
                <c:pt idx="117">
                  <c:v>46.2063723825358</c:v>
                </c:pt>
                <c:pt idx="118">
                  <c:v>46.2061487082116</c:v>
                </c:pt>
                <c:pt idx="119">
                  <c:v>46.2059499784399</c:v>
                </c:pt>
                <c:pt idx="120">
                  <c:v>46.2057734112829</c:v>
                </c:pt>
                <c:pt idx="121">
                  <c:v>46.2056165350746</c:v>
                </c:pt>
                <c:pt idx="122">
                  <c:v>46.2054771538119</c:v>
                </c:pt>
                <c:pt idx="123">
                  <c:v>46.2053533164081</c:v>
                </c:pt>
                <c:pt idx="124">
                  <c:v>46.2052432893751</c:v>
                </c:pt>
                <c:pt idx="125">
                  <c:v>46.205145532554</c:v>
                </c:pt>
                <c:pt idx="126">
                  <c:v>46.2050586775524</c:v>
                </c:pt>
                <c:pt idx="127">
                  <c:v>46.2049815085868</c:v>
                </c:pt>
                <c:pt idx="128">
                  <c:v>46.2049129454626</c:v>
                </c:pt>
                <c:pt idx="129">
                  <c:v>46.2048520284518</c:v>
                </c:pt>
                <c:pt idx="130">
                  <c:v>46.2047979048577</c:v>
                </c:pt>
                <c:pt idx="131">
                  <c:v>46.2047498170781</c:v>
                </c:pt>
                <c:pt idx="132">
                  <c:v>46.2047070919999</c:v>
                </c:pt>
                <c:pt idx="133">
                  <c:v>46.2046691315763</c:v>
                </c:pt>
                <c:pt idx="134">
                  <c:v>46.2046354044554</c:v>
                </c:pt>
                <c:pt idx="135">
                  <c:v>46.2046054385419</c:v>
                </c:pt>
                <c:pt idx="136">
                  <c:v>46.2045788143887</c:v>
                </c:pt>
                <c:pt idx="137">
                  <c:v>46.2045551593257</c:v>
                </c:pt>
                <c:pt idx="138">
                  <c:v>46.2045341422428</c:v>
                </c:pt>
                <c:pt idx="139">
                  <c:v>46.2045154689552</c:v>
                </c:pt>
                <c:pt idx="140">
                  <c:v>46.2044988780854</c:v>
                </c:pt>
                <c:pt idx="141">
                  <c:v>46.2044841374048</c:v>
                </c:pt>
                <c:pt idx="142">
                  <c:v>46.2044710405825</c:v>
                </c:pt>
                <c:pt idx="143">
                  <c:v>46.2044594042976</c:v>
                </c:pt>
                <c:pt idx="144">
                  <c:v>46.2044490656731</c:v>
                </c:pt>
                <c:pt idx="145">
                  <c:v>46.2044398799955</c:v>
                </c:pt>
                <c:pt idx="146">
                  <c:v>46.20443171869</c:v>
                </c:pt>
                <c:pt idx="147">
                  <c:v>46.2044244675201</c:v>
                </c:pt>
                <c:pt idx="148">
                  <c:v>46.2044180249887</c:v>
                </c:pt>
                <c:pt idx="149">
                  <c:v>46.2044123009179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'③疾病-SIR'!$G$3</c:f>
              <c:strCache>
                <c:ptCount val="1"/>
                <c:pt idx="0">
                  <c:v>I 感染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'③疾病-SIR'!$E$4:$E$153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cat>
          <c:val>
            <c:numRef>
              <c:f>'③疾病-SIR'!$G$4:$G$153</c:f>
              <c:numCache>
                <c:formatCode>General</c:formatCode>
                <c:ptCount val="150"/>
                <c:pt idx="0">
                  <c:v>5</c:v>
                </c:pt>
                <c:pt idx="1">
                  <c:v>6.34</c:v>
                </c:pt>
                <c:pt idx="2">
                  <c:v>8.03407336</c:v>
                </c:pt>
                <c:pt idx="3">
                  <c:v>10.1727171009195</c:v>
                </c:pt>
                <c:pt idx="4">
                  <c:v>12.8677085265777</c:v>
                </c:pt>
                <c:pt idx="5">
                  <c:v>16.2559882863113</c:v>
                </c:pt>
                <c:pt idx="6">
                  <c:v>20.5035488024165</c:v>
                </c:pt>
                <c:pt idx="7">
                  <c:v>25.8087952073196</c:v>
                </c:pt>
                <c:pt idx="8">
                  <c:v>32.4044762521674</c:v>
                </c:pt>
                <c:pt idx="9">
                  <c:v>40.5567652972946</c:v>
                </c:pt>
                <c:pt idx="10">
                  <c:v>50.5594082341115</c:v>
                </c:pt>
                <c:pt idx="11">
                  <c:v>62.7201161078255</c:v>
                </c:pt>
                <c:pt idx="12">
                  <c:v>77.335770498201</c:v>
                </c:pt>
                <c:pt idx="13">
                  <c:v>94.6529559070065</c:v>
                </c:pt>
                <c:pt idx="14">
                  <c:v>114.811549031096</c:v>
                </c:pt>
                <c:pt idx="15">
                  <c:v>137.772520084296</c:v>
                </c:pt>
                <c:pt idx="16">
                  <c:v>163.237531699781</c:v>
                </c:pt>
                <c:pt idx="17">
                  <c:v>190.577137066699</c:v>
                </c:pt>
                <c:pt idx="18">
                  <c:v>218.793870033512</c:v>
                </c:pt>
                <c:pt idx="19">
                  <c:v>246.550646051332</c:v>
                </c:pt>
                <c:pt idx="20">
                  <c:v>272.28626450959</c:v>
                </c:pt>
                <c:pt idx="21">
                  <c:v>294.414371330229</c:v>
                </c:pt>
                <c:pt idx="22">
                  <c:v>311.566268291002</c:v>
                </c:pt>
                <c:pt idx="23">
                  <c:v>322.809875365815</c:v>
                </c:pt>
                <c:pt idx="24">
                  <c:v>327.777428937009</c:v>
                </c:pt>
                <c:pt idx="25">
                  <c:v>326.66801570481</c:v>
                </c:pt>
                <c:pt idx="26">
                  <c:v>320.139452460573</c:v>
                </c:pt>
                <c:pt idx="27">
                  <c:v>309.13926025164</c:v>
                </c:pt>
                <c:pt idx="28">
                  <c:v>294.730959030781</c:v>
                </c:pt>
                <c:pt idx="29">
                  <c:v>277.954954671562</c:v>
                </c:pt>
                <c:pt idx="30">
                  <c:v>259.739084856691</c:v>
                </c:pt>
                <c:pt idx="31">
                  <c:v>240.855367623472</c:v>
                </c:pt>
                <c:pt idx="32">
                  <c:v>221.910747608488</c:v>
                </c:pt>
                <c:pt idx="33">
                  <c:v>203.358517169226</c:v>
                </c:pt>
                <c:pt idx="34">
                  <c:v>185.519769040784</c:v>
                </c:pt>
                <c:pt idx="35">
                  <c:v>168.607818957496</c:v>
                </c:pt>
                <c:pt idx="36">
                  <c:v>152.751589779299</c:v>
                </c:pt>
                <c:pt idx="37">
                  <c:v>138.016073138195</c:v>
                </c:pt>
                <c:pt idx="38">
                  <c:v>124.419272559803</c:v>
                </c:pt>
                <c:pt idx="39">
                  <c:v>111.945720210302</c:v>
                </c:pt>
                <c:pt idx="40">
                  <c:v>100.556971300273</c:v>
                </c:pt>
                <c:pt idx="41">
                  <c:v>90.1995790472156</c:v>
                </c:pt>
                <c:pt idx="42">
                  <c:v>80.8110434412302</c:v>
                </c:pt>
                <c:pt idx="43">
                  <c:v>72.3241698595008</c:v>
                </c:pt>
                <c:pt idx="44">
                  <c:v>64.6702016820672</c:v>
                </c:pt>
                <c:pt idx="45">
                  <c:v>57.7810206059892</c:v>
                </c:pt>
                <c:pt idx="46">
                  <c:v>51.5906461866188</c:v>
                </c:pt>
                <c:pt idx="47">
                  <c:v>46.0362142790979</c:v>
                </c:pt>
                <c:pt idx="48">
                  <c:v>41.0585722353894</c:v>
                </c:pt>
                <c:pt idx="49">
                  <c:v>36.6025957094277</c:v>
                </c:pt>
                <c:pt idx="50">
                  <c:v>32.617306249503</c:v>
                </c:pt>
                <c:pt idx="51">
                  <c:v>29.0558490824605</c:v>
                </c:pt>
                <c:pt idx="52">
                  <c:v>25.8753753710532</c:v>
                </c:pt>
                <c:pt idx="53">
                  <c:v>23.0368617212152</c:v>
                </c:pt>
                <c:pt idx="54">
                  <c:v>20.5048910016303</c:v>
                </c:pt>
                <c:pt idx="55">
                  <c:v>18.2474119619082</c:v>
                </c:pt>
                <c:pt idx="56">
                  <c:v>16.2354901915061</c:v>
                </c:pt>
                <c:pt idx="57">
                  <c:v>14.4430592589789</c:v>
                </c:pt>
                <c:pt idx="58">
                  <c:v>12.8466781111173</c:v>
                </c:pt>
                <c:pt idx="59">
                  <c:v>11.4252987655819</c:v>
                </c:pt>
                <c:pt idx="60">
                  <c:v>10.1600468246687</c:v>
                </c:pt>
                <c:pt idx="61">
                  <c:v>9.03401623937369</c:v>
                </c:pt>
                <c:pt idx="62">
                  <c:v>8.03207896121668</c:v>
                </c:pt>
                <c:pt idx="63">
                  <c:v>7.14070955783665</c:v>
                </c:pt>
                <c:pt idx="64">
                  <c:v>6.34782447905586</c:v>
                </c:pt>
                <c:pt idx="65">
                  <c:v>5.64263539887137</c:v>
                </c:pt>
                <c:pt idx="66">
                  <c:v>5.01551589225177</c:v>
                </c:pt>
                <c:pt idx="67">
                  <c:v>4.45788060842163</c:v>
                </c:pt>
                <c:pt idx="68">
                  <c:v>3.96207605541202</c:v>
                </c:pt>
                <c:pt idx="69">
                  <c:v>3.52128209966156</c:v>
                </c:pt>
                <c:pt idx="70">
                  <c:v>3.12942329857549</c:v>
                </c:pt>
                <c:pt idx="71">
                  <c:v>2.78108921512494</c:v>
                </c:pt>
                <c:pt idx="72">
                  <c:v>2.47146290580779</c:v>
                </c:pt>
                <c:pt idx="73">
                  <c:v>2.1962568221841</c:v>
                </c:pt>
                <c:pt idx="74">
                  <c:v>1.95165541852705</c:v>
                </c:pt>
                <c:pt idx="75">
                  <c:v>1.73426381158236</c:v>
                </c:pt>
                <c:pt idx="76">
                  <c:v>1.54106189137352</c:v>
                </c:pt>
                <c:pt idx="77">
                  <c:v>1.36936333330746</c:v>
                </c:pt>
                <c:pt idx="78">
                  <c:v>1.21677901078527</c:v>
                </c:pt>
                <c:pt idx="79">
                  <c:v>1.08118435364953</c:v>
                </c:pt>
                <c:pt idx="80">
                  <c:v>0.960690240852935</c:v>
                </c:pt>
                <c:pt idx="81">
                  <c:v>0.853617055612503</c:v>
                </c:pt>
                <c:pt idx="82">
                  <c:v>0.758471568025613</c:v>
                </c:pt>
                <c:pt idx="83">
                  <c:v>0.673926343749373</c:v>
                </c:pt>
                <c:pt idx="84">
                  <c:v>0.598801408012315</c:v>
                </c:pt>
                <c:pt idx="85">
                  <c:v>0.532047922099067</c:v>
                </c:pt>
                <c:pt idx="86">
                  <c:v>0.472733654703429</c:v>
                </c:pt>
                <c:pt idx="87">
                  <c:v>0.420030053370631</c:v>
                </c:pt>
                <c:pt idx="88">
                  <c:v>0.373200741834503</c:v>
                </c:pt>
                <c:pt idx="89">
                  <c:v>0.331591287584852</c:v>
                </c:pt>
                <c:pt idx="90">
                  <c:v>0.294620100653054</c:v>
                </c:pt>
                <c:pt idx="91">
                  <c:v>0.261770339548701</c:v>
                </c:pt>
                <c:pt idx="92">
                  <c:v>0.232582713676217</c:v>
                </c:pt>
                <c:pt idx="93">
                  <c:v>0.206649083555233</c:v>
                </c:pt>
                <c:pt idx="94">
                  <c:v>0.183606770899105</c:v>
                </c:pt>
                <c:pt idx="95">
                  <c:v>0.163133500197498</c:v>
                </c:pt>
                <c:pt idx="96">
                  <c:v>0.144942902016552</c:v>
                </c:pt>
                <c:pt idx="97">
                  <c:v>0.128780515878149</c:v>
                </c:pt>
                <c:pt idx="98">
                  <c:v>0.11442023740328</c:v>
                </c:pt>
                <c:pt idx="99">
                  <c:v>0.101661160489467</c:v>
                </c:pt>
                <c:pt idx="100">
                  <c:v>0.0903247707161276</c:v>
                </c:pt>
                <c:pt idx="101">
                  <c:v>0.0802524510048516</c:v>
                </c:pt>
                <c:pt idx="102">
                  <c:v>0.0713032648665982</c:v>
                </c:pt>
                <c:pt idx="103">
                  <c:v>0.0633519864014558</c:v>
                </c:pt>
                <c:pt idx="104">
                  <c:v>0.056287349629581</c:v>
                </c:pt>
                <c:pt idx="105">
                  <c:v>0.0500104927696767</c:v>
                </c:pt>
                <c:pt idx="106">
                  <c:v>0.0444335757846294</c:v>
                </c:pt>
                <c:pt idx="107">
                  <c:v>0.0394785519190752</c:v>
                </c:pt>
                <c:pt idx="108">
                  <c:v>0.0350760760932616</c:v>
                </c:pt>
                <c:pt idx="109">
                  <c:v>0.0311645349206513</c:v>
                </c:pt>
                <c:pt idx="110">
                  <c:v>0.0276891848092269</c:v>
                </c:pt>
                <c:pt idx="111">
                  <c:v>0.0246013861115239</c:v>
                </c:pt>
                <c:pt idx="112">
                  <c:v>0.0218579226266777</c:v>
                </c:pt>
                <c:pt idx="113">
                  <c:v>0.0194203969475996</c:v>
                </c:pt>
                <c:pt idx="114">
                  <c:v>0.0172546932041834</c:v>
                </c:pt>
                <c:pt idx="115">
                  <c:v>0.0153304996937732</c:v>
                </c:pt>
                <c:pt idx="116">
                  <c:v>0.0136208847259874</c:v>
                </c:pt>
                <c:pt idx="117">
                  <c:v>0.0121019197519638</c:v>
                </c:pt>
                <c:pt idx="118">
                  <c:v>0.0107523445084496</c:v>
                </c:pt>
                <c:pt idx="119">
                  <c:v>0.00955326949407888</c:v>
                </c:pt>
                <c:pt idx="120">
                  <c:v>0.00848791161679821</c:v>
                </c:pt>
                <c:pt idx="121">
                  <c:v>0.00754135931497475</c:v>
                </c:pt>
                <c:pt idx="122">
                  <c:v>0.00670036386669241</c:v>
                </c:pt>
                <c:pt idx="123">
                  <c:v>0.00595315396784827</c:v>
                </c:pt>
                <c:pt idx="124">
                  <c:v>0.00528927098500056</c:v>
                </c:pt>
                <c:pt idx="125">
                  <c:v>0.00469942257802464</c:v>
                </c:pt>
                <c:pt idx="126">
                  <c:v>0.00417535264453607</c:v>
                </c:pt>
                <c:pt idx="127">
                  <c:v>0.00370972576632249</c:v>
                </c:pt>
                <c:pt idx="128">
                  <c:v>0.00329602454087451</c:v>
                </c:pt>
                <c:pt idx="129">
                  <c:v>0.00292845836135171</c:v>
                </c:pt>
                <c:pt idx="130">
                  <c:v>0.00260188236847908</c:v>
                </c:pt>
                <c:pt idx="131">
                  <c:v>0.00231172544017992</c:v>
                </c:pt>
                <c:pt idx="132">
                  <c:v>0.00205392621120024</c:v>
                </c:pt>
                <c:pt idx="133">
                  <c:v>0.00182487622733505</c:v>
                </c:pt>
                <c:pt idx="134">
                  <c:v>0.00162136943869753</c:v>
                </c:pt>
                <c:pt idx="135">
                  <c:v>0.00144055732517523</c:v>
                </c:pt>
                <c:pt idx="136">
                  <c:v>0.00127990902603098</c:v>
                </c:pt>
                <c:pt idx="137">
                  <c:v>0.00113717591563435</c:v>
                </c:pt>
                <c:pt idx="138">
                  <c:v>0.0010103601295298</c:v>
                </c:pt>
                <c:pt idx="139">
                  <c:v>0.000897686600331251</c:v>
                </c:pt>
                <c:pt idx="140">
                  <c:v>0.0007975782120527</c:v>
                </c:pt>
                <c:pt idx="141">
                  <c:v>0.000708633725127439</c:v>
                </c:pt>
                <c:pt idx="142">
                  <c:v>0.000629608163145624</c:v>
                </c:pt>
                <c:pt idx="143">
                  <c:v>0.000559395386793084</c:v>
                </c:pt>
                <c:pt idx="144">
                  <c:v>0.000497012611085996</c:v>
                </c:pt>
                <c:pt idx="145">
                  <c:v>0.000441586649194384</c:v>
                </c:pt>
                <c:pt idx="146">
                  <c:v>0.000392341690312918</c:v>
                </c:pt>
                <c:pt idx="147">
                  <c:v>0.000348588440508423</c:v>
                </c:pt>
                <c:pt idx="148">
                  <c:v>0.000309714474550216</c:v>
                </c:pt>
                <c:pt idx="149">
                  <c:v>0.000275175663678891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'③疾病-SIR'!$H$3</c:f>
              <c:strCache>
                <c:ptCount val="1"/>
                <c:pt idx="0">
                  <c:v>R 康复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'③疾病-SIR'!$E$4:$E$153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cat>
          <c:val>
            <c:numRef>
              <c:f>'③疾病-SIR'!$H$4:$H$153</c:f>
              <c:numCache>
                <c:formatCode>General</c:formatCode>
                <c:ptCount val="150"/>
                <c:pt idx="0">
                  <c:v>0</c:v>
                </c:pt>
                <c:pt idx="1">
                  <c:v>0.5</c:v>
                </c:pt>
                <c:pt idx="2">
                  <c:v>1.134</c:v>
                </c:pt>
                <c:pt idx="3">
                  <c:v>1.937407336</c:v>
                </c:pt>
                <c:pt idx="4">
                  <c:v>2.95467904609195</c:v>
                </c:pt>
                <c:pt idx="5">
                  <c:v>4.24144989874972</c:v>
                </c:pt>
                <c:pt idx="6">
                  <c:v>5.86704872738085</c:v>
                </c:pt>
                <c:pt idx="7">
                  <c:v>7.9174036076225</c:v>
                </c:pt>
                <c:pt idx="8">
                  <c:v>10.4982831283545</c:v>
                </c:pt>
                <c:pt idx="9">
                  <c:v>13.7387307535712</c:v>
                </c:pt>
                <c:pt idx="10">
                  <c:v>17.7944072833007</c:v>
                </c:pt>
                <c:pt idx="11">
                  <c:v>22.8503481067118</c:v>
                </c:pt>
                <c:pt idx="12">
                  <c:v>29.1223597174944</c:v>
                </c:pt>
                <c:pt idx="13">
                  <c:v>36.8559367673145</c:v>
                </c:pt>
                <c:pt idx="14">
                  <c:v>46.3212323580151</c:v>
                </c:pt>
                <c:pt idx="15">
                  <c:v>57.8023872611247</c:v>
                </c:pt>
                <c:pt idx="16">
                  <c:v>71.5796392695543</c:v>
                </c:pt>
                <c:pt idx="17">
                  <c:v>87.9033924395324</c:v>
                </c:pt>
                <c:pt idx="18">
                  <c:v>106.961106146202</c:v>
                </c:pt>
                <c:pt idx="19">
                  <c:v>128.840493149554</c:v>
                </c:pt>
                <c:pt idx="20">
                  <c:v>153.495557754687</c:v>
                </c:pt>
                <c:pt idx="21">
                  <c:v>180.724184205646</c:v>
                </c:pt>
                <c:pt idx="22">
                  <c:v>210.165621338669</c:v>
                </c:pt>
                <c:pt idx="23">
                  <c:v>241.322248167769</c:v>
                </c:pt>
                <c:pt idx="24">
                  <c:v>273.60323570435</c:v>
                </c:pt>
                <c:pt idx="25">
                  <c:v>306.380978598051</c:v>
                </c:pt>
                <c:pt idx="26">
                  <c:v>339.047780168532</c:v>
                </c:pt>
                <c:pt idx="27">
                  <c:v>371.06172541459</c:v>
                </c:pt>
                <c:pt idx="28">
                  <c:v>401.975651439754</c:v>
                </c:pt>
                <c:pt idx="29">
                  <c:v>431.448747342832</c:v>
                </c:pt>
                <c:pt idx="30">
                  <c:v>459.244242809988</c:v>
                </c:pt>
                <c:pt idx="31">
                  <c:v>485.218151295657</c:v>
                </c:pt>
                <c:pt idx="32">
                  <c:v>509.303688058004</c:v>
                </c:pt>
                <c:pt idx="33">
                  <c:v>531.494762818853</c:v>
                </c:pt>
                <c:pt idx="34">
                  <c:v>551.830614535776</c:v>
                </c:pt>
                <c:pt idx="35">
                  <c:v>570.382591439854</c:v>
                </c:pt>
                <c:pt idx="36">
                  <c:v>587.243373335604</c:v>
                </c:pt>
                <c:pt idx="37">
                  <c:v>602.518532313534</c:v>
                </c:pt>
                <c:pt idx="38">
                  <c:v>616.320139627353</c:v>
                </c:pt>
                <c:pt idx="39">
                  <c:v>628.762066883333</c:v>
                </c:pt>
                <c:pt idx="40">
                  <c:v>639.956638904364</c:v>
                </c:pt>
                <c:pt idx="41">
                  <c:v>650.012336034391</c:v>
                </c:pt>
                <c:pt idx="42">
                  <c:v>659.032293939112</c:v>
                </c:pt>
                <c:pt idx="43">
                  <c:v>667.113398283235</c:v>
                </c:pt>
                <c:pt idx="44">
                  <c:v>674.345815269186</c:v>
                </c:pt>
                <c:pt idx="45">
                  <c:v>680.812835437392</c:v>
                </c:pt>
                <c:pt idx="46">
                  <c:v>686.590937497991</c:v>
                </c:pt>
                <c:pt idx="47">
                  <c:v>691.750002116653</c:v>
                </c:pt>
                <c:pt idx="48">
                  <c:v>696.353623544563</c:v>
                </c:pt>
                <c:pt idx="49">
                  <c:v>700.459480768102</c:v>
                </c:pt>
                <c:pt idx="50">
                  <c:v>704.119740339045</c:v>
                </c:pt>
                <c:pt idx="51">
                  <c:v>707.381470963995</c:v>
                </c:pt>
                <c:pt idx="52">
                  <c:v>710.287055872241</c:v>
                </c:pt>
                <c:pt idx="53">
                  <c:v>712.874593409346</c:v>
                </c:pt>
                <c:pt idx="54">
                  <c:v>715.178279581468</c:v>
                </c:pt>
                <c:pt idx="55">
                  <c:v>717.228768681631</c:v>
                </c:pt>
                <c:pt idx="56">
                  <c:v>719.053509877822</c:v>
                </c:pt>
                <c:pt idx="57">
                  <c:v>720.677058896972</c:v>
                </c:pt>
                <c:pt idx="58">
                  <c:v>722.12136482287</c:v>
                </c:pt>
                <c:pt idx="59">
                  <c:v>723.406032633982</c:v>
                </c:pt>
                <c:pt idx="60">
                  <c:v>724.54856251054</c:v>
                </c:pt>
                <c:pt idx="61">
                  <c:v>725.564567193007</c:v>
                </c:pt>
                <c:pt idx="62">
                  <c:v>726.467968816944</c:v>
                </c:pt>
                <c:pt idx="63">
                  <c:v>727.271176713066</c:v>
                </c:pt>
                <c:pt idx="64">
                  <c:v>727.98524766885</c:v>
                </c:pt>
                <c:pt idx="65">
                  <c:v>728.620030116755</c:v>
                </c:pt>
                <c:pt idx="66">
                  <c:v>729.184293656642</c:v>
                </c:pt>
                <c:pt idx="67">
                  <c:v>729.685845245868</c:v>
                </c:pt>
                <c:pt idx="68">
                  <c:v>730.13163330671</c:v>
                </c:pt>
                <c:pt idx="69">
                  <c:v>730.527840912251</c:v>
                </c:pt>
                <c:pt idx="70">
                  <c:v>730.879969122217</c:v>
                </c:pt>
                <c:pt idx="71">
                  <c:v>731.192911452075</c:v>
                </c:pt>
                <c:pt idx="72">
                  <c:v>731.471020373587</c:v>
                </c:pt>
                <c:pt idx="73">
                  <c:v>731.718166664168</c:v>
                </c:pt>
                <c:pt idx="74">
                  <c:v>731.937792346386</c:v>
                </c:pt>
                <c:pt idx="75">
                  <c:v>732.132957888239</c:v>
                </c:pt>
                <c:pt idx="76">
                  <c:v>732.306384269397</c:v>
                </c:pt>
                <c:pt idx="77">
                  <c:v>732.460490458535</c:v>
                </c:pt>
                <c:pt idx="78">
                  <c:v>732.597426791865</c:v>
                </c:pt>
                <c:pt idx="79">
                  <c:v>732.719104692944</c:v>
                </c:pt>
                <c:pt idx="80">
                  <c:v>732.827223128309</c:v>
                </c:pt>
                <c:pt idx="81">
                  <c:v>732.923292152394</c:v>
                </c:pt>
                <c:pt idx="82">
                  <c:v>733.008653857955</c:v>
                </c:pt>
                <c:pt idx="83">
                  <c:v>733.084501014758</c:v>
                </c:pt>
                <c:pt idx="84">
                  <c:v>733.151893649133</c:v>
                </c:pt>
                <c:pt idx="85">
                  <c:v>733.211773789934</c:v>
                </c:pt>
                <c:pt idx="86">
                  <c:v>733.264978582144</c:v>
                </c:pt>
                <c:pt idx="87">
                  <c:v>733.312251947615</c:v>
                </c:pt>
                <c:pt idx="88">
                  <c:v>733.354254952952</c:v>
                </c:pt>
                <c:pt idx="89">
                  <c:v>733.391575027135</c:v>
                </c:pt>
                <c:pt idx="90">
                  <c:v>733.424734155893</c:v>
                </c:pt>
                <c:pt idx="91">
                  <c:v>733.454196165959</c:v>
                </c:pt>
                <c:pt idx="92">
                  <c:v>733.480373199914</c:v>
                </c:pt>
                <c:pt idx="93">
                  <c:v>733.503631471281</c:v>
                </c:pt>
                <c:pt idx="94">
                  <c:v>733.524296379637</c:v>
                </c:pt>
                <c:pt idx="95">
                  <c:v>733.542657056727</c:v>
                </c:pt>
                <c:pt idx="96">
                  <c:v>733.558970406747</c:v>
                </c:pt>
                <c:pt idx="97">
                  <c:v>733.573464696948</c:v>
                </c:pt>
                <c:pt idx="98">
                  <c:v>733.586342748536</c:v>
                </c:pt>
                <c:pt idx="99">
                  <c:v>733.597784772276</c:v>
                </c:pt>
                <c:pt idx="100">
                  <c:v>733.607950888325</c:v>
                </c:pt>
                <c:pt idx="101">
                  <c:v>733.616983365397</c:v>
                </c:pt>
                <c:pt idx="102">
                  <c:v>733.625008610498</c:v>
                </c:pt>
                <c:pt idx="103">
                  <c:v>733.632138936984</c:v>
                </c:pt>
                <c:pt idx="104">
                  <c:v>733.638474135624</c:v>
                </c:pt>
                <c:pt idx="105">
                  <c:v>733.644102870587</c:v>
                </c:pt>
                <c:pt idx="106">
                  <c:v>733.649103919864</c:v>
                </c:pt>
                <c:pt idx="107">
                  <c:v>733.653547277443</c:v>
                </c:pt>
                <c:pt idx="108">
                  <c:v>733.657495132635</c:v>
                </c:pt>
                <c:pt idx="109">
                  <c:v>733.661002740244</c:v>
                </c:pt>
                <c:pt idx="110">
                  <c:v>733.664119193736</c:v>
                </c:pt>
                <c:pt idx="111">
                  <c:v>733.666888112217</c:v>
                </c:pt>
                <c:pt idx="112">
                  <c:v>733.669348250828</c:v>
                </c:pt>
                <c:pt idx="113">
                  <c:v>733.671534043091</c:v>
                </c:pt>
                <c:pt idx="114">
                  <c:v>733.673476082786</c:v>
                </c:pt>
                <c:pt idx="115">
                  <c:v>733.675201552106</c:v>
                </c:pt>
                <c:pt idx="116">
                  <c:v>733.676734602075</c:v>
                </c:pt>
                <c:pt idx="117">
                  <c:v>733.678096690548</c:v>
                </c:pt>
                <c:pt idx="118">
                  <c:v>733.679306882523</c:v>
                </c:pt>
                <c:pt idx="119">
                  <c:v>733.680382116974</c:v>
                </c:pt>
                <c:pt idx="120">
                  <c:v>733.681337443923</c:v>
                </c:pt>
                <c:pt idx="121">
                  <c:v>733.682186235085</c:v>
                </c:pt>
                <c:pt idx="122">
                  <c:v>733.682940371017</c:v>
                </c:pt>
                <c:pt idx="123">
                  <c:v>733.683610407403</c:v>
                </c:pt>
                <c:pt idx="124">
                  <c:v>733.6842057228</c:v>
                </c:pt>
                <c:pt idx="125">
                  <c:v>733.684734649898</c:v>
                </c:pt>
                <c:pt idx="126">
                  <c:v>733.685204592156</c:v>
                </c:pt>
                <c:pt idx="127">
                  <c:v>733.685622127421</c:v>
                </c:pt>
                <c:pt idx="128">
                  <c:v>733.685993099997</c:v>
                </c:pt>
                <c:pt idx="129">
                  <c:v>733.686322702452</c:v>
                </c:pt>
                <c:pt idx="130">
                  <c:v>733.686615548288</c:v>
                </c:pt>
                <c:pt idx="131">
                  <c:v>733.686875736525</c:v>
                </c:pt>
                <c:pt idx="132">
                  <c:v>733.687106909069</c:v>
                </c:pt>
                <c:pt idx="133">
                  <c:v>733.68731230169</c:v>
                </c:pt>
                <c:pt idx="134">
                  <c:v>733.687494789312</c:v>
                </c:pt>
                <c:pt idx="135">
                  <c:v>733.687656926256</c:v>
                </c:pt>
                <c:pt idx="136">
                  <c:v>733.687800981989</c:v>
                </c:pt>
                <c:pt idx="137">
                  <c:v>733.687928972891</c:v>
                </c:pt>
                <c:pt idx="138">
                  <c:v>733.688042690483</c:v>
                </c:pt>
                <c:pt idx="139">
                  <c:v>733.688143726496</c:v>
                </c:pt>
                <c:pt idx="140">
                  <c:v>733.688233495156</c:v>
                </c:pt>
                <c:pt idx="141">
                  <c:v>733.688313252977</c:v>
                </c:pt>
                <c:pt idx="142">
                  <c:v>733.68838411635</c:v>
                </c:pt>
                <c:pt idx="143">
                  <c:v>733.688447077166</c:v>
                </c:pt>
                <c:pt idx="144">
                  <c:v>733.688503016705</c:v>
                </c:pt>
                <c:pt idx="145">
                  <c:v>733.688552717966</c:v>
                </c:pt>
                <c:pt idx="146">
                  <c:v>733.688596876631</c:v>
                </c:pt>
                <c:pt idx="147">
                  <c:v>733.6886361108</c:v>
                </c:pt>
                <c:pt idx="148">
                  <c:v>733.688670969644</c:v>
                </c:pt>
                <c:pt idx="149">
                  <c:v>733.688701941091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天 (day)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数量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2b963d-e005-4495-8894-af028bde87d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四族人口增长对比（Logistic）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④种族对比!$H$3</c:f>
              <c:strCache>
                <c:ptCount val="1"/>
                <c:pt idx="0">
                  <c:v>森林族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④种族对比!$G$4:$G$203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④种族对比!$H$4:$H$203</c:f>
              <c:numCache>
                <c:formatCode>General</c:formatCode>
                <c:ptCount val="200"/>
                <c:pt idx="0">
                  <c:v>20</c:v>
                </c:pt>
                <c:pt idx="1">
                  <c:v>20.4944444444444</c:v>
                </c:pt>
                <c:pt idx="2">
                  <c:v>21.0009719131516</c:v>
                </c:pt>
                <c:pt idx="3">
                  <c:v>21.5198706440179</c:v>
                </c:pt>
                <c:pt idx="4">
                  <c:v>22.0514353985554</c:v>
                </c:pt>
                <c:pt idx="5">
                  <c:v>22.595967591809</c:v>
                </c:pt>
                <c:pt idx="6">
                  <c:v>23.1537754239458</c:v>
                </c:pt>
                <c:pt idx="7">
                  <c:v>23.7251740134835</c:v>
                </c:pt>
                <c:pt idx="8">
                  <c:v>24.3104855321266</c:v>
                </c:pt>
                <c:pt idx="9">
                  <c:v>24.9100393411686</c:v>
                </c:pt>
                <c:pt idx="10">
                  <c:v>25.5241721294203</c:v>
                </c:pt>
                <c:pt idx="11">
                  <c:v>26.1532280526156</c:v>
                </c:pt>
                <c:pt idx="12">
                  <c:v>26.7975588742425</c:v>
                </c:pt>
                <c:pt idx="13">
                  <c:v>27.4575241077428</c:v>
                </c:pt>
                <c:pt idx="14">
                  <c:v>28.1334911600179</c:v>
                </c:pt>
                <c:pt idx="15">
                  <c:v>28.8258354761732</c:v>
                </c:pt>
                <c:pt idx="16">
                  <c:v>29.5349406854261</c:v>
                </c:pt>
                <c:pt idx="17">
                  <c:v>30.2611987480994</c:v>
                </c:pt>
                <c:pt idx="18">
                  <c:v>31.005010103612</c:v>
                </c:pt>
                <c:pt idx="19">
                  <c:v>31.7667838193756</c:v>
                </c:pt>
                <c:pt idx="20">
                  <c:v>32.5469377404957</c:v>
                </c:pt>
                <c:pt idx="21">
                  <c:v>33.3458986401708</c:v>
                </c:pt>
                <c:pt idx="22">
                  <c:v>34.1641023706734</c:v>
                </c:pt>
                <c:pt idx="23">
                  <c:v>35.0019940147903</c:v>
                </c:pt>
                <c:pt idx="24">
                  <c:v>35.8600280375905</c:v>
                </c:pt>
                <c:pt idx="25">
                  <c:v>36.7386684383795</c:v>
                </c:pt>
                <c:pt idx="26">
                  <c:v>37.6383889026914</c:v>
                </c:pt>
                <c:pt idx="27">
                  <c:v>38.5596729541588</c:v>
                </c:pt>
                <c:pt idx="28">
                  <c:v>39.5030141060915</c:v>
                </c:pt>
                <c:pt idx="29">
                  <c:v>40.4689160125845</c:v>
                </c:pt>
                <c:pt idx="30">
                  <c:v>41.4578926189654</c:v>
                </c:pt>
                <c:pt idx="31">
                  <c:v>42.4704683113783</c:v>
                </c:pt>
                <c:pt idx="32">
                  <c:v>43.5071780652935</c:v>
                </c:pt>
                <c:pt idx="33">
                  <c:v>44.5685675927146</c:v>
                </c:pt>
                <c:pt idx="34">
                  <c:v>45.6551934878482</c:v>
                </c:pt>
                <c:pt idx="35">
                  <c:v>46.7676233709832</c:v>
                </c:pt>
                <c:pt idx="36">
                  <c:v>47.9064360303165</c:v>
                </c:pt>
                <c:pt idx="37">
                  <c:v>49.0722215614476</c:v>
                </c:pt>
                <c:pt idx="38">
                  <c:v>50.265581504248</c:v>
                </c:pt>
                <c:pt idx="39">
                  <c:v>51.4871289767992</c:v>
                </c:pt>
                <c:pt idx="40">
                  <c:v>52.7374888060765</c:v>
                </c:pt>
                <c:pt idx="41">
                  <c:v>54.01729765504</c:v>
                </c:pt>
                <c:pt idx="42">
                  <c:v>55.3272041457777</c:v>
                </c:pt>
                <c:pt idx="43">
                  <c:v>56.6678689783307</c:v>
                </c:pt>
                <c:pt idx="44">
                  <c:v>58.0399650448091</c:v>
                </c:pt>
                <c:pt idx="45">
                  <c:v>59.444177538396</c:v>
                </c:pt>
                <c:pt idx="46">
                  <c:v>60.8812040568112</c:v>
                </c:pt>
                <c:pt idx="47">
                  <c:v>62.3517546997953</c:v>
                </c:pt>
                <c:pt idx="48">
                  <c:v>63.8565521601493</c:v>
                </c:pt>
                <c:pt idx="49">
                  <c:v>65.3963318078505</c:v>
                </c:pt>
                <c:pt idx="50">
                  <c:v>66.9718417667423</c:v>
                </c:pt>
                <c:pt idx="51">
                  <c:v>68.5838429832771</c:v>
                </c:pt>
                <c:pt idx="52">
                  <c:v>70.2331092867708</c:v>
                </c:pt>
                <c:pt idx="53">
                  <c:v>71.9204274406055</c:v>
                </c:pt>
                <c:pt idx="54">
                  <c:v>73.6465971837979</c:v>
                </c:pt>
                <c:pt idx="55">
                  <c:v>75.4124312623268</c:v>
                </c:pt>
                <c:pt idx="56">
                  <c:v>77.2187554495948</c:v>
                </c:pt>
                <c:pt idx="57">
                  <c:v>79.0664085553737</c:v>
                </c:pt>
                <c:pt idx="58">
                  <c:v>80.9562424225658</c:v>
                </c:pt>
                <c:pt idx="59">
                  <c:v>82.8891219110857</c:v>
                </c:pt>
                <c:pt idx="60">
                  <c:v>84.8659248681519</c:v>
                </c:pt>
                <c:pt idx="61">
                  <c:v>86.8875420842484</c:v>
                </c:pt>
                <c:pt idx="62">
                  <c:v>88.9548772340012</c:v>
                </c:pt>
                <c:pt idx="63">
                  <c:v>91.0688468011885</c:v>
                </c:pt>
                <c:pt idx="64">
                  <c:v>93.2303799870836</c:v>
                </c:pt>
                <c:pt idx="65">
                  <c:v>95.4404186013087</c:v>
                </c:pt>
                <c:pt idx="66">
                  <c:v>97.6999169343582</c:v>
                </c:pt>
                <c:pt idx="67">
                  <c:v>100.009841610926</c:v>
                </c:pt>
                <c:pt idx="68">
                  <c:v>102.371171423157</c:v>
                </c:pt>
                <c:pt idx="69">
                  <c:v>104.784897142922</c:v>
                </c:pt>
                <c:pt idx="70">
                  <c:v>107.2520213122</c:v>
                </c:pt>
                <c:pt idx="71">
                  <c:v>109.773558010623</c:v>
                </c:pt>
                <c:pt idx="72">
                  <c:v>112.350532599245</c:v>
                </c:pt>
                <c:pt idx="73">
                  <c:v>114.983981439569</c:v>
                </c:pt>
                <c:pt idx="74">
                  <c:v>117.67495158684</c:v>
                </c:pt>
                <c:pt idx="75">
                  <c:v>120.424500456636</c:v>
                </c:pt>
                <c:pt idx="76">
                  <c:v>123.233695463744</c:v>
                </c:pt>
                <c:pt idx="77">
                  <c:v>126.103613632314</c:v>
                </c:pt>
                <c:pt idx="78">
                  <c:v>129.035341176301</c:v>
                </c:pt>
                <c:pt idx="79">
                  <c:v>132.029973049146</c:v>
                </c:pt>
                <c:pt idx="80">
                  <c:v>135.088612461717</c:v>
                </c:pt>
                <c:pt idx="81">
                  <c:v>138.212370367471</c:v>
                </c:pt>
                <c:pt idx="82">
                  <c:v>141.402364913844</c:v>
                </c:pt>
                <c:pt idx="83">
                  <c:v>144.659720858867</c:v>
                </c:pt>
                <c:pt idx="84">
                  <c:v>147.98556895202</c:v>
                </c:pt>
                <c:pt idx="85">
                  <c:v>151.381045278347</c:v>
                </c:pt>
                <c:pt idx="86">
                  <c:v>154.847290564895</c:v>
                </c:pt>
                <c:pt idx="87">
                  <c:v>158.385449448528</c:v>
                </c:pt>
                <c:pt idx="88">
                  <c:v>161.996669704227</c:v>
                </c:pt>
                <c:pt idx="89">
                  <c:v>165.682101433009</c:v>
                </c:pt>
                <c:pt idx="90">
                  <c:v>169.442896208623</c:v>
                </c:pt>
                <c:pt idx="91">
                  <c:v>173.280206182233</c:v>
                </c:pt>
                <c:pt idx="92">
                  <c:v>177.195183144365</c:v>
                </c:pt>
                <c:pt idx="93">
                  <c:v>181.188977543396</c:v>
                </c:pt>
                <c:pt idx="94">
                  <c:v>185.262737459992</c:v>
                </c:pt>
                <c:pt idx="95">
                  <c:v>189.417607536892</c:v>
                </c:pt>
                <c:pt idx="96">
                  <c:v>193.654727863578</c:v>
                </c:pt>
                <c:pt idx="97">
                  <c:v>197.975232815391</c:v>
                </c:pt>
                <c:pt idx="98">
                  <c:v>202.380249846772</c:v>
                </c:pt>
                <c:pt idx="99">
                  <c:v>206.870898238385</c:v>
                </c:pt>
                <c:pt idx="100">
                  <c:v>211.448287797984</c:v>
                </c:pt>
                <c:pt idx="101">
                  <c:v>216.113517514979</c:v>
                </c:pt>
                <c:pt idx="102">
                  <c:v>220.867674168789</c:v>
                </c:pt>
                <c:pt idx="103">
                  <c:v>225.711830891165</c:v>
                </c:pt>
                <c:pt idx="104">
                  <c:v>230.64704568283</c:v>
                </c:pt>
                <c:pt idx="105">
                  <c:v>235.67435988487</c:v>
                </c:pt>
                <c:pt idx="106">
                  <c:v>240.794796605503</c:v>
                </c:pt>
                <c:pt idx="107">
                  <c:v>246.00935910297</c:v>
                </c:pt>
                <c:pt idx="108">
                  <c:v>251.319029125458</c:v>
                </c:pt>
                <c:pt idx="109">
                  <c:v>256.724765209142</c:v>
                </c:pt>
                <c:pt idx="110">
                  <c:v>262.227500935597</c:v>
                </c:pt>
                <c:pt idx="111">
                  <c:v>267.828143150002</c:v>
                </c:pt>
                <c:pt idx="112">
                  <c:v>273.527570141763</c:v>
                </c:pt>
                <c:pt idx="113">
                  <c:v>279.326629789368</c:v>
                </c:pt>
                <c:pt idx="114">
                  <c:v>285.22613767147</c:v>
                </c:pt>
                <c:pt idx="115">
                  <c:v>291.226875146438</c:v>
                </c:pt>
                <c:pt idx="116">
                  <c:v>297.329587402771</c:v>
                </c:pt>
                <c:pt idx="117">
                  <c:v>303.534981483047</c:v>
                </c:pt>
                <c:pt idx="118">
                  <c:v>309.843724284236</c:v>
                </c:pt>
                <c:pt idx="119">
                  <c:v>316.256440537476</c:v>
                </c:pt>
                <c:pt idx="120">
                  <c:v>322.773710770615</c:v>
                </c:pt>
                <c:pt idx="121">
                  <c:v>329.396069257039</c:v>
                </c:pt>
                <c:pt idx="122">
                  <c:v>336.124001954548</c:v>
                </c:pt>
                <c:pt idx="123">
                  <c:v>342.957944438274</c:v>
                </c:pt>
                <c:pt idx="124">
                  <c:v>349.898279831823</c:v>
                </c:pt>
                <c:pt idx="125">
                  <c:v>356.945336741101</c:v>
                </c:pt>
                <c:pt idx="126">
                  <c:v>364.099387195445</c:v>
                </c:pt>
                <c:pt idx="127">
                  <c:v>371.360644600941</c:v>
                </c:pt>
                <c:pt idx="128">
                  <c:v>378.729261710987</c:v>
                </c:pt>
                <c:pt idx="129">
                  <c:v>386.20532861937</c:v>
                </c:pt>
                <c:pt idx="130">
                  <c:v>393.788870781327</c:v>
                </c:pt>
                <c:pt idx="131">
                  <c:v>401.479847068204</c:v>
                </c:pt>
                <c:pt idx="132">
                  <c:v>409.278147861549</c:v>
                </c:pt>
                <c:pt idx="133">
                  <c:v>417.183593192574</c:v>
                </c:pt>
                <c:pt idx="134">
                  <c:v>425.195930933096</c:v>
                </c:pt>
                <c:pt idx="135">
                  <c:v>433.314835044173</c:v>
                </c:pt>
                <c:pt idx="136">
                  <c:v>441.539903888758</c:v>
                </c:pt>
                <c:pt idx="137">
                  <c:v>449.870658614781</c:v>
                </c:pt>
                <c:pt idx="138">
                  <c:v>458.306541615116</c:v>
                </c:pt>
                <c:pt idx="139">
                  <c:v>466.846915070949</c:v>
                </c:pt>
                <c:pt idx="140">
                  <c:v>475.491059585067</c:v>
                </c:pt>
                <c:pt idx="141">
                  <c:v>484.238172911564</c:v>
                </c:pt>
                <c:pt idx="142">
                  <c:v>493.087368788454</c:v>
                </c:pt>
                <c:pt idx="143">
                  <c:v>502.037675879572</c:v>
                </c:pt>
                <c:pt idx="144">
                  <c:v>511.088036832081</c:v>
                </c:pt>
                <c:pt idx="145">
                  <c:v>520.23730745576</c:v>
                </c:pt>
                <c:pt idx="146">
                  <c:v>529.484256030087</c:v>
                </c:pt>
                <c:pt idx="147">
                  <c:v>538.827562744954</c:v>
                </c:pt>
                <c:pt idx="148">
                  <c:v>548.26581928061</c:v>
                </c:pt>
                <c:pt idx="149">
                  <c:v>557.797528532189</c:v>
                </c:pt>
                <c:pt idx="150">
                  <c:v>567.421104483874</c:v>
                </c:pt>
                <c:pt idx="151">
                  <c:v>577.134872237447</c:v>
                </c:pt>
                <c:pt idx="152">
                  <c:v>586.937068199598</c:v>
                </c:pt>
                <c:pt idx="153">
                  <c:v>596.825840431995</c:v>
                </c:pt>
                <c:pt idx="154">
                  <c:v>606.799249167692</c:v>
                </c:pt>
                <c:pt idx="155">
                  <c:v>616.855267497017</c:v>
                </c:pt>
                <c:pt idx="156">
                  <c:v>626.99178222557</c:v>
                </c:pt>
                <c:pt idx="157">
                  <c:v>637.206594906509</c:v>
                </c:pt>
                <c:pt idx="158">
                  <c:v>647.497423048723</c:v>
                </c:pt>
                <c:pt idx="159">
                  <c:v>657.861901501958</c:v>
                </c:pt>
                <c:pt idx="160">
                  <c:v>668.297584019399</c:v>
                </c:pt>
                <c:pt idx="161">
                  <c:v>678.801944997576</c:v>
                </c:pt>
                <c:pt idx="162">
                  <c:v>689.372381392898</c:v>
                </c:pt>
                <c:pt idx="163">
                  <c:v>700.006214813452</c:v>
                </c:pt>
                <c:pt idx="164">
                  <c:v>710.700693784101</c:v>
                </c:pt>
                <c:pt idx="165">
                  <c:v>721.452996182243</c:v>
                </c:pt>
                <c:pt idx="166">
                  <c:v>732.260231840961</c:v>
                </c:pt>
                <c:pt idx="167">
                  <c:v>743.119445315655</c:v>
                </c:pt>
                <c:pt idx="168">
                  <c:v>754.02761880957</c:v>
                </c:pt>
                <c:pt idx="169">
                  <c:v>764.981675253037</c:v>
                </c:pt>
                <c:pt idx="170">
                  <c:v>775.978481530572</c:v>
                </c:pt>
                <c:pt idx="171">
                  <c:v>787.014851849413</c:v>
                </c:pt>
                <c:pt idx="172">
                  <c:v>798.087551242432</c:v>
                </c:pt>
                <c:pt idx="173">
                  <c:v>809.193299197824</c:v>
                </c:pt>
                <c:pt idx="174">
                  <c:v>820.3287734074</c:v>
                </c:pt>
                <c:pt idx="175">
                  <c:v>831.490613624806</c:v>
                </c:pt>
                <c:pt idx="176">
                  <c:v>842.675425624507</c:v>
                </c:pt>
                <c:pt idx="177">
                  <c:v>853.879785251905</c:v>
                </c:pt>
                <c:pt idx="178">
                  <c:v>865.100242554566</c:v>
                </c:pt>
                <c:pt idx="179">
                  <c:v>876.333325984153</c:v>
                </c:pt>
                <c:pt idx="180">
                  <c:v>887.575546658334</c:v>
                </c:pt>
                <c:pt idx="181">
                  <c:v>898.823402671655</c:v>
                </c:pt>
                <c:pt idx="182">
                  <c:v>910.073383444138</c:v>
                </c:pt>
                <c:pt idx="183">
                  <c:v>921.321974096165</c:v>
                </c:pt>
                <c:pt idx="184">
                  <c:v>932.565659838119</c:v>
                </c:pt>
                <c:pt idx="185">
                  <c:v>943.800930363109</c:v>
                </c:pt>
                <c:pt idx="186">
                  <c:v>955.024284231155</c:v>
                </c:pt>
                <c:pt idx="187">
                  <c:v>966.232233233167</c:v>
                </c:pt>
                <c:pt idx="188">
                  <c:v>977.42130672318</c:v>
                </c:pt>
                <c:pt idx="189">
                  <c:v>988.58805590742</c:v>
                </c:pt>
                <c:pt idx="190">
                  <c:v>999.729058078956</c:v>
                </c:pt>
                <c:pt idx="191">
                  <c:v>1010.84092078694</c:v>
                </c:pt>
                <c:pt idx="192">
                  <c:v>1021.9202859297</c:v>
                </c:pt>
                <c:pt idx="193">
                  <c:v>1032.96383376135</c:v>
                </c:pt>
                <c:pt idx="194">
                  <c:v>1043.96828680179</c:v>
                </c:pt>
                <c:pt idx="195">
                  <c:v>1054.93041364061</c:v>
                </c:pt>
                <c:pt idx="196">
                  <c:v>1065.84703262574</c:v>
                </c:pt>
                <c:pt idx="197">
                  <c:v>1076.71501542809</c:v>
                </c:pt>
                <c:pt idx="198">
                  <c:v>1087.53129047423</c:v>
                </c:pt>
                <c:pt idx="199">
                  <c:v>1098.29284623942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④种族对比!$I$3</c:f>
              <c:strCache>
                <c:ptCount val="1"/>
                <c:pt idx="0">
                  <c:v>矮人族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④种族对比!$G$4:$G$203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④种族对比!$I$4:$I$203</c:f>
              <c:numCache>
                <c:formatCode>General</c:formatCode>
                <c:ptCount val="200"/>
                <c:pt idx="0">
                  <c:v>20</c:v>
                </c:pt>
                <c:pt idx="1">
                  <c:v>20.236</c:v>
                </c:pt>
                <c:pt idx="2">
                  <c:v>20.47473704304</c:v>
                </c:pt>
                <c:pt idx="3">
                  <c:v>20.7162417389867</c:v>
                </c:pt>
                <c:pt idx="4">
                  <c:v>20.9605450131366</c:v>
                </c:pt>
                <c:pt idx="5">
                  <c:v>21.2076781088218</c:v>
                </c:pt>
                <c:pt idx="6">
                  <c:v>21.45767259002</c:v>
                </c:pt>
                <c:pt idx="7">
                  <c:v>21.7105603439704</c:v>
                </c:pt>
                <c:pt idx="8">
                  <c:v>21.9663735837936</c:v>
                </c:pt>
                <c:pt idx="9">
                  <c:v>22.2251448511149</c:v>
                </c:pt>
                <c:pt idx="10">
                  <c:v>22.4869070186917</c:v>
                </c:pt>
                <c:pt idx="11">
                  <c:v>22.7516932930433</c:v>
                </c:pt>
                <c:pt idx="12">
                  <c:v>23.0195372170828</c:v>
                </c:pt>
                <c:pt idx="13">
                  <c:v>23.290472672751</c:v>
                </c:pt>
                <c:pt idx="14">
                  <c:v>23.5645338836508</c:v>
                </c:pt>
                <c:pt idx="15">
                  <c:v>23.841755417683</c:v>
                </c:pt>
                <c:pt idx="16">
                  <c:v>24.1221721896813</c:v>
                </c:pt>
                <c:pt idx="17">
                  <c:v>24.405819464046</c:v>
                </c:pt>
                <c:pt idx="18">
                  <c:v>24.6927328573774</c:v>
                </c:pt>
                <c:pt idx="19">
                  <c:v>24.9829483411063</c:v>
                </c:pt>
                <c:pt idx="20">
                  <c:v>25.2765022441214</c:v>
                </c:pt>
                <c:pt idx="21">
                  <c:v>25.5734312553939</c:v>
                </c:pt>
                <c:pt idx="22">
                  <c:v>25.8737724265969</c:v>
                </c:pt>
                <c:pt idx="23">
                  <c:v>26.1775631747202</c:v>
                </c:pt>
                <c:pt idx="24">
                  <c:v>26.4848412846792</c:v>
                </c:pt>
                <c:pt idx="25">
                  <c:v>26.7956449119166</c:v>
                </c:pt>
                <c:pt idx="26">
                  <c:v>27.1100125849971</c:v>
                </c:pt>
                <c:pt idx="27">
                  <c:v>27.4279832081935</c:v>
                </c:pt>
                <c:pt idx="28">
                  <c:v>27.7495960640631</c:v>
                </c:pt>
                <c:pt idx="29">
                  <c:v>28.0748908160147</c:v>
                </c:pt>
                <c:pt idx="30">
                  <c:v>28.4039075108636</c:v>
                </c:pt>
                <c:pt idx="31">
                  <c:v>28.7366865813751</c:v>
                </c:pt>
                <c:pt idx="32">
                  <c:v>29.0732688487948</c:v>
                </c:pt>
                <c:pt idx="33">
                  <c:v>29.4136955253648</c:v>
                </c:pt>
                <c:pt idx="34">
                  <c:v>29.7580082168246</c:v>
                </c:pt>
                <c:pt idx="35">
                  <c:v>30.1062489248962</c:v>
                </c:pt>
                <c:pt idx="36">
                  <c:v>30.4584600497516</c:v>
                </c:pt>
                <c:pt idx="37">
                  <c:v>30.8146843924626</c:v>
                </c:pt>
                <c:pt idx="38">
                  <c:v>31.1749651574301</c:v>
                </c:pt>
                <c:pt idx="39">
                  <c:v>31.5393459547936</c:v>
                </c:pt>
                <c:pt idx="40">
                  <c:v>31.9078708028186</c:v>
                </c:pt>
                <c:pt idx="41">
                  <c:v>32.2805841302607</c:v>
                </c:pt>
                <c:pt idx="42">
                  <c:v>32.6575307787059</c:v>
                </c:pt>
                <c:pt idx="43">
                  <c:v>33.0387560048848</c:v>
                </c:pt>
                <c:pt idx="44">
                  <c:v>33.4243054829599</c:v>
                </c:pt>
                <c:pt idx="45">
                  <c:v>33.8142253067852</c:v>
                </c:pt>
                <c:pt idx="46">
                  <c:v>34.2085619921356</c:v>
                </c:pt>
                <c:pt idx="47">
                  <c:v>34.6073624789056</c:v>
                </c:pt>
                <c:pt idx="48">
                  <c:v>35.010674133275</c:v>
                </c:pt>
                <c:pt idx="49">
                  <c:v>35.4185447498416</c:v>
                </c:pt>
                <c:pt idx="50">
                  <c:v>35.8310225537177</c:v>
                </c:pt>
                <c:pt idx="51">
                  <c:v>36.2481562025899</c:v>
                </c:pt>
                <c:pt idx="52">
                  <c:v>36.6699947887401</c:v>
                </c:pt>
                <c:pt idx="53">
                  <c:v>37.0965878410269</c:v>
                </c:pt>
                <c:pt idx="54">
                  <c:v>37.5279853268248</c:v>
                </c:pt>
                <c:pt idx="55">
                  <c:v>37.9642376539198</c:v>
                </c:pt>
                <c:pt idx="56">
                  <c:v>38.4053956723604</c:v>
                </c:pt>
                <c:pt idx="57">
                  <c:v>38.8515106762612</c:v>
                </c:pt>
                <c:pt idx="58">
                  <c:v>39.3026344055581</c:v>
                </c:pt>
                <c:pt idx="59">
                  <c:v>39.7588190477126</c:v>
                </c:pt>
                <c:pt idx="60">
                  <c:v>40.2201172393644</c:v>
                </c:pt>
                <c:pt idx="61">
                  <c:v>40.6865820679293</c:v>
                </c:pt>
                <c:pt idx="62">
                  <c:v>41.1582670731408</c:v>
                </c:pt>
                <c:pt idx="63">
                  <c:v>41.6352262485338</c:v>
                </c:pt>
                <c:pt idx="64">
                  <c:v>42.1175140428686</c:v>
                </c:pt>
                <c:pt idx="65">
                  <c:v>42.6051853614915</c:v>
                </c:pt>
                <c:pt idx="66">
                  <c:v>43.0982955676325</c:v>
                </c:pt>
                <c:pt idx="67">
                  <c:v>43.5969004836357</c:v>
                </c:pt>
                <c:pt idx="68">
                  <c:v>44.1010563921216</c:v>
                </c:pt>
                <c:pt idx="69">
                  <c:v>44.610820037078</c:v>
                </c:pt>
                <c:pt idx="70">
                  <c:v>45.1262486248792</c:v>
                </c:pt>
                <c:pt idx="71">
                  <c:v>45.6473998252282</c:v>
                </c:pt>
                <c:pt idx="72">
                  <c:v>46.1743317720229</c:v>
                </c:pt>
                <c:pt idx="73">
                  <c:v>46.7071030641412</c:v>
                </c:pt>
                <c:pt idx="74">
                  <c:v>47.2457727661445</c:v>
                </c:pt>
                <c:pt idx="75">
                  <c:v>47.7904004088955</c:v>
                </c:pt>
                <c:pt idx="76">
                  <c:v>48.3410459900898</c:v>
                </c:pt>
                <c:pt idx="77">
                  <c:v>48.8977699746967</c:v>
                </c:pt>
                <c:pt idx="78">
                  <c:v>49.4606332953081</c:v>
                </c:pt>
                <c:pt idx="79">
                  <c:v>50.0296973523921</c:v>
                </c:pt>
                <c:pt idx="80">
                  <c:v>50.6050240144491</c:v>
                </c:pt>
                <c:pt idx="81">
                  <c:v>51.1866756180674</c:v>
                </c:pt>
                <c:pt idx="82">
                  <c:v>51.7747149678759</c:v>
                </c:pt>
                <c:pt idx="83">
                  <c:v>52.3692053363904</c:v>
                </c:pt>
                <c:pt idx="84">
                  <c:v>52.9702104637514</c:v>
                </c:pt>
                <c:pt idx="85">
                  <c:v>53.5777945573507</c:v>
                </c:pt>
                <c:pt idx="86">
                  <c:v>54.1920222913426</c:v>
                </c:pt>
                <c:pt idx="87">
                  <c:v>54.8129588060385</c:v>
                </c:pt>
                <c:pt idx="88">
                  <c:v>55.4406697071802</c:v>
                </c:pt>
                <c:pt idx="89">
                  <c:v>56.0752210650906</c:v>
                </c:pt>
                <c:pt idx="90">
                  <c:v>56.7166794136967</c:v>
                </c:pt>
                <c:pt idx="91">
                  <c:v>57.3651117494239</c:v>
                </c:pt>
                <c:pt idx="92">
                  <c:v>58.0205855299567</c:v>
                </c:pt>
                <c:pt idx="93">
                  <c:v>58.6831686728638</c:v>
                </c:pt>
                <c:pt idx="94">
                  <c:v>59.3529295540833</c:v>
                </c:pt>
                <c:pt idx="95">
                  <c:v>60.0299370062658</c:v>
                </c:pt>
                <c:pt idx="96">
                  <c:v>60.7142603169712</c:v>
                </c:pt>
                <c:pt idx="97">
                  <c:v>61.4059692267165</c:v>
                </c:pt>
                <c:pt idx="98">
                  <c:v>62.1051339268704</c:v>
                </c:pt>
                <c:pt idx="99">
                  <c:v>62.8118250573921</c:v>
                </c:pt>
                <c:pt idx="100">
                  <c:v>63.5261137044104</c:v>
                </c:pt>
                <c:pt idx="101">
                  <c:v>64.2480713976394</c:v>
                </c:pt>
                <c:pt idx="102">
                  <c:v>64.9777701076279</c:v>
                </c:pt>
                <c:pt idx="103">
                  <c:v>65.7152822428379</c:v>
                </c:pt>
                <c:pt idx="104">
                  <c:v>66.4606806465494</c:v>
                </c:pt>
                <c:pt idx="105">
                  <c:v>67.2140385935879</c:v>
                </c:pt>
                <c:pt idx="106">
                  <c:v>67.9754297868704</c:v>
                </c:pt>
                <c:pt idx="107">
                  <c:v>68.7449283537657</c:v>
                </c:pt>
                <c:pt idx="108">
                  <c:v>69.5226088422673</c:v>
                </c:pt>
                <c:pt idx="109">
                  <c:v>70.3085462169721</c:v>
                </c:pt>
                <c:pt idx="110">
                  <c:v>71.1028158548644</c:v>
                </c:pt>
                <c:pt idx="111">
                  <c:v>71.9054935408978</c:v>
                </c:pt>
                <c:pt idx="112">
                  <c:v>72.716655463375</c:v>
                </c:pt>
                <c:pt idx="113">
                  <c:v>73.5363782091177</c:v>
                </c:pt>
                <c:pt idx="114">
                  <c:v>74.364738758426</c:v>
                </c:pt>
                <c:pt idx="115">
                  <c:v>75.201814479821</c:v>
                </c:pt>
                <c:pt idx="116">
                  <c:v>76.0476831245683</c:v>
                </c:pt>
                <c:pt idx="117">
                  <c:v>76.902422820977</c:v>
                </c:pt>
                <c:pt idx="118">
                  <c:v>77.7661120684713</c:v>
                </c:pt>
                <c:pt idx="119">
                  <c:v>78.6388297314305</c:v>
                </c:pt>
                <c:pt idx="120">
                  <c:v>79.5206550327924</c:v>
                </c:pt>
                <c:pt idx="121">
                  <c:v>80.4116675474175</c:v>
                </c:pt>
                <c:pt idx="122">
                  <c:v>81.3119471952089</c:v>
                </c:pt>
                <c:pt idx="123">
                  <c:v>82.2215742339846</c:v>
                </c:pt>
                <c:pt idx="124">
                  <c:v>83.1406292520973</c:v>
                </c:pt>
                <c:pt idx="125">
                  <c:v>84.0691931607981</c:v>
                </c:pt>
                <c:pt idx="126">
                  <c:v>85.0073471863406</c:v>
                </c:pt>
                <c:pt idx="127">
                  <c:v>85.9551728618201</c:v>
                </c:pt>
                <c:pt idx="128">
                  <c:v>86.9127520187449</c:v>
                </c:pt>
                <c:pt idx="129">
                  <c:v>87.8801667783352</c:v>
                </c:pt>
                <c:pt idx="130">
                  <c:v>88.8574995425453</c:v>
                </c:pt>
                <c:pt idx="131">
                  <c:v>89.8448329848063</c:v>
                </c:pt>
                <c:pt idx="132">
                  <c:v>90.8422500404833</c:v>
                </c:pt>
                <c:pt idx="133">
                  <c:v>91.8498338970449</c:v>
                </c:pt>
                <c:pt idx="134">
                  <c:v>92.8676679839403</c:v>
                </c:pt>
                <c:pt idx="135">
                  <c:v>93.8958359621799</c:v>
                </c:pt>
                <c:pt idx="136">
                  <c:v>94.9344217136156</c:v>
                </c:pt>
                <c:pt idx="137">
                  <c:v>95.983509329918</c:v>
                </c:pt>
                <c:pt idx="138">
                  <c:v>97.0431831012442</c:v>
                </c:pt>
                <c:pt idx="139">
                  <c:v>98.1135275045949</c:v>
                </c:pt>
                <c:pt idx="140">
                  <c:v>99.1946271918561</c:v>
                </c:pt>
                <c:pt idx="141">
                  <c:v>100.286566977521</c:v>
                </c:pt>
                <c:pt idx="142">
                  <c:v>101.38943182609</c:v>
                </c:pt>
                <c:pt idx="143">
                  <c:v>102.503306839143</c:v>
                </c:pt>
                <c:pt idx="144">
                  <c:v>103.628277242083</c:v>
                </c:pt>
                <c:pt idx="145">
                  <c:v>104.764428370546</c:v>
                </c:pt>
                <c:pt idx="146">
                  <c:v>105.911845656475</c:v>
                </c:pt>
                <c:pt idx="147">
                  <c:v>107.070614613849</c:v>
                </c:pt>
                <c:pt idx="148">
                  <c:v>108.240820824077</c:v>
                </c:pt>
                <c:pt idx="149">
                  <c:v>109.422549921039</c:v>
                </c:pt>
                <c:pt idx="150">
                  <c:v>110.61588757578</c:v>
                </c:pt>
                <c:pt idx="151">
                  <c:v>111.820919480847</c:v>
                </c:pt>
                <c:pt idx="152">
                  <c:v>113.037731334282</c:v>
                </c:pt>
                <c:pt idx="153">
                  <c:v>114.266408823241</c:v>
                </c:pt>
                <c:pt idx="154">
                  <c:v>115.507037607267</c:v>
                </c:pt>
                <c:pt idx="155">
                  <c:v>116.759703301186</c:v>
                </c:pt>
                <c:pt idx="156">
                  <c:v>118.02449145765</c:v>
                </c:pt>
                <c:pt idx="157">
                  <c:v>119.301487549304</c:v>
                </c:pt>
                <c:pt idx="158">
                  <c:v>120.590776950581</c:v>
                </c:pt>
                <c:pt idx="159">
                  <c:v>121.892444919132</c:v>
                </c:pt>
                <c:pt idx="160">
                  <c:v>123.206576576878</c:v>
                </c:pt>
                <c:pt idx="161">
                  <c:v>124.533256890683</c:v>
                </c:pt>
                <c:pt idx="162">
                  <c:v>125.872570652653</c:v>
                </c:pt>
                <c:pt idx="163">
                  <c:v>127.224602460058</c:v>
                </c:pt>
                <c:pt idx="164">
                  <c:v>128.589436694867</c:v>
                </c:pt>
                <c:pt idx="165">
                  <c:v>129.96715750291</c:v>
                </c:pt>
                <c:pt idx="166">
                  <c:v>131.357848772652</c:v>
                </c:pt>
                <c:pt idx="167">
                  <c:v>132.761594113582</c:v>
                </c:pt>
                <c:pt idx="168">
                  <c:v>134.178476834229</c:v>
                </c:pt>
                <c:pt idx="169">
                  <c:v>135.608579919784</c:v>
                </c:pt>
                <c:pt idx="170">
                  <c:v>137.051986009343</c:v>
                </c:pt>
                <c:pt idx="171">
                  <c:v>138.508777372764</c:v>
                </c:pt>
                <c:pt idx="172">
                  <c:v>139.979035887144</c:v>
                </c:pt>
                <c:pt idx="173">
                  <c:v>141.462843012911</c:v>
                </c:pt>
                <c:pt idx="174">
                  <c:v>142.960279769533</c:v>
                </c:pt>
                <c:pt idx="175">
                  <c:v>144.471426710849</c:v>
                </c:pt>
                <c:pt idx="176">
                  <c:v>145.996363900021</c:v>
                </c:pt>
                <c:pt idx="177">
                  <c:v>147.535170884101</c:v>
                </c:pt>
                <c:pt idx="178">
                  <c:v>149.087926668232</c:v>
                </c:pt>
                <c:pt idx="179">
                  <c:v>150.654709689468</c:v>
                </c:pt>
                <c:pt idx="180">
                  <c:v>152.235597790226</c:v>
                </c:pt>
                <c:pt idx="181">
                  <c:v>153.830668191363</c:v>
                </c:pt>
                <c:pt idx="182">
                  <c:v>155.439997464898</c:v>
                </c:pt>
                <c:pt idx="183">
                  <c:v>157.063661506357</c:v>
                </c:pt>
                <c:pt idx="184">
                  <c:v>158.701735506776</c:v>
                </c:pt>
                <c:pt idx="185">
                  <c:v>160.354293924329</c:v>
                </c:pt>
                <c:pt idx="186">
                  <c:v>162.021410455621</c:v>
                </c:pt>
                <c:pt idx="187">
                  <c:v>163.703158006628</c:v>
                </c:pt>
                <c:pt idx="188">
                  <c:v>165.399608663294</c:v>
                </c:pt>
                <c:pt idx="189">
                  <c:v>167.110833661794</c:v>
                </c:pt>
                <c:pt idx="190">
                  <c:v>168.836903358464</c:v>
                </c:pt>
                <c:pt idx="191">
                  <c:v>170.577887199409</c:v>
                </c:pt>
                <c:pt idx="192">
                  <c:v>172.333853689788</c:v>
                </c:pt>
                <c:pt idx="193">
                  <c:v>174.104870362789</c:v>
                </c:pt>
                <c:pt idx="194">
                  <c:v>175.891003748302</c:v>
                </c:pt>
                <c:pt idx="195">
                  <c:v>177.692319341286</c:v>
                </c:pt>
                <c:pt idx="196">
                  <c:v>179.508881569853</c:v>
                </c:pt>
                <c:pt idx="197">
                  <c:v>181.340753763066</c:v>
                </c:pt>
                <c:pt idx="198">
                  <c:v>183.18799811847</c:v>
                </c:pt>
                <c:pt idx="199">
                  <c:v>185.050675669345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④种族对比!$J$3</c:f>
              <c:strCache>
                <c:ptCount val="1"/>
                <c:pt idx="0">
                  <c:v>游牧族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④种族对比!$G$4:$G$203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④种族对比!$J$4:$J$203</c:f>
              <c:numCache>
                <c:formatCode>General</c:formatCode>
                <c:ptCount val="200"/>
                <c:pt idx="0">
                  <c:v>20</c:v>
                </c:pt>
                <c:pt idx="1">
                  <c:v>20.3552</c:v>
                </c:pt>
                <c:pt idx="2">
                  <c:v>20.7166215899955</c:v>
                </c:pt>
                <c:pt idx="3">
                  <c:v>21.0843706376942</c:v>
                </c:pt>
                <c:pt idx="4">
                  <c:v>21.4585547009504</c:v>
                </c:pt>
                <c:pt idx="5">
                  <c:v>21.8392830507293</c:v>
                </c:pt>
                <c:pt idx="6">
                  <c:v>22.2266666942324</c:v>
                </c:pt>
                <c:pt idx="7">
                  <c:v>22.6208183981805</c:v>
                </c:pt>
                <c:pt idx="8">
                  <c:v>23.0218527122478</c:v>
                </c:pt>
                <c:pt idx="9">
                  <c:v>23.4298859926406</c:v>
                </c:pt>
                <c:pt idx="10">
                  <c:v>23.8450364258166</c:v>
                </c:pt>
                <c:pt idx="11">
                  <c:v>24.2674240523355</c:v>
                </c:pt>
                <c:pt idx="12">
                  <c:v>24.6971707908359</c:v>
                </c:pt>
                <c:pt idx="13">
                  <c:v>25.1344004621301</c:v>
                </c:pt>
                <c:pt idx="14">
                  <c:v>25.5792388134093</c:v>
                </c:pt>
                <c:pt idx="15">
                  <c:v>26.0318135425514</c:v>
                </c:pt>
                <c:pt idx="16">
                  <c:v>26.4922543225216</c:v>
                </c:pt>
                <c:pt idx="17">
                  <c:v>26.9606928258579</c:v>
                </c:pt>
                <c:pt idx="18">
                  <c:v>27.4372627492315</c:v>
                </c:pt>
                <c:pt idx="19">
                  <c:v>27.9220998380716</c:v>
                </c:pt>
                <c:pt idx="20">
                  <c:v>28.4153419112445</c:v>
                </c:pt>
                <c:pt idx="21">
                  <c:v>28.9171288857757</c:v>
                </c:pt>
                <c:pt idx="22">
                  <c:v>29.4276028016037</c:v>
                </c:pt>
                <c:pt idx="23">
                  <c:v>29.9469078463528</c:v>
                </c:pt>
                <c:pt idx="24">
                  <c:v>30.4751903801125</c:v>
                </c:pt>
                <c:pt idx="25">
                  <c:v>31.01259896021</c:v>
                </c:pt>
                <c:pt idx="26">
                  <c:v>31.5592843659626</c:v>
                </c:pt>
                <c:pt idx="27">
                  <c:v>32.1153996233936</c:v>
                </c:pt>
                <c:pt idx="28">
                  <c:v>32.6811000298991</c:v>
                </c:pt>
                <c:pt idx="29">
                  <c:v>33.2565431788473</c:v>
                </c:pt>
                <c:pt idx="30">
                  <c:v>33.8418889840961</c:v>
                </c:pt>
                <c:pt idx="31">
                  <c:v>34.4372997044097</c:v>
                </c:pt>
                <c:pt idx="32">
                  <c:v>35.0429399677579</c:v>
                </c:pt>
                <c:pt idx="33">
                  <c:v>35.6589767954785</c:v>
                </c:pt>
                <c:pt idx="34">
                  <c:v>36.2855796262839</c:v>
                </c:pt>
                <c:pt idx="35">
                  <c:v>36.9229203400912</c:v>
                </c:pt>
                <c:pt idx="36">
                  <c:v>37.5711732816556</c:v>
                </c:pt>
                <c:pt idx="37">
                  <c:v>38.2305152839843</c:v>
                </c:pt>
                <c:pt idx="38">
                  <c:v>38.9011256915094</c:v>
                </c:pt>
                <c:pt idx="39">
                  <c:v>39.5831863829958</c:v>
                </c:pt>
                <c:pt idx="40">
                  <c:v>40.276881794159</c:v>
                </c:pt>
                <c:pt idx="41">
                  <c:v>40.9823989399691</c:v>
                </c:pt>
                <c:pt idx="42">
                  <c:v>41.699927436614</c:v>
                </c:pt>
                <c:pt idx="43">
                  <c:v>42.4296595230945</c:v>
                </c:pt>
                <c:pt idx="44">
                  <c:v>43.1717900824232</c:v>
                </c:pt>
                <c:pt idx="45">
                  <c:v>43.9265166623998</c:v>
                </c:pt>
                <c:pt idx="46">
                  <c:v>44.6940394959299</c:v>
                </c:pt>
                <c:pt idx="47">
                  <c:v>45.474561520859</c:v>
                </c:pt>
                <c:pt idx="48">
                  <c:v>46.2682883992883</c:v>
                </c:pt>
                <c:pt idx="49">
                  <c:v>47.0754285363387</c:v>
                </c:pt>
                <c:pt idx="50">
                  <c:v>47.8961930983303</c:v>
                </c:pt>
                <c:pt idx="51">
                  <c:v>48.7307960303405</c:v>
                </c:pt>
                <c:pt idx="52">
                  <c:v>49.5794540731056</c:v>
                </c:pt>
                <c:pt idx="53">
                  <c:v>50.4423867792272</c:v>
                </c:pt>
                <c:pt idx="54">
                  <c:v>51.3198165286455</c:v>
                </c:pt>
                <c:pt idx="55">
                  <c:v>52.2119685433387</c:v>
                </c:pt>
                <c:pt idx="56">
                  <c:v>53.1190709012088</c:v>
                </c:pt>
                <c:pt idx="57">
                  <c:v>54.0413545491096</c:v>
                </c:pt>
                <c:pt idx="58">
                  <c:v>54.9790533149756</c:v>
                </c:pt>
                <c:pt idx="59">
                  <c:v>55.9324039190042</c:v>
                </c:pt>
                <c:pt idx="60">
                  <c:v>56.9016459838484</c:v>
                </c:pt>
                <c:pt idx="61">
                  <c:v>57.8870220437696</c:v>
                </c:pt>
                <c:pt idx="62">
                  <c:v>58.8887775527043</c:v>
                </c:pt>
                <c:pt idx="63">
                  <c:v>59.9071608911932</c:v>
                </c:pt>
                <c:pt idx="64">
                  <c:v>60.9424233721221</c:v>
                </c:pt>
                <c:pt idx="65">
                  <c:v>61.9948192452227</c:v>
                </c:pt>
                <c:pt idx="66">
                  <c:v>63.0646057002777</c:v>
                </c:pt>
                <c:pt idx="67">
                  <c:v>64.1520428689772</c:v>
                </c:pt>
                <c:pt idx="68">
                  <c:v>65.2573938253676</c:v>
                </c:pt>
                <c:pt idx="69">
                  <c:v>66.3809245848377</c:v>
                </c:pt>
                <c:pt idx="70">
                  <c:v>67.5229041015799</c:v>
                </c:pt>
                <c:pt idx="71">
                  <c:v>68.6836042644686</c:v>
                </c:pt>
                <c:pt idx="72">
                  <c:v>69.8632998912919</c:v>
                </c:pt>
                <c:pt idx="73">
                  <c:v>71.0622687212748</c:v>
                </c:pt>
                <c:pt idx="74">
                  <c:v>72.2807914058279</c:v>
                </c:pt>
                <c:pt idx="75">
                  <c:v>73.5191514974578</c:v>
                </c:pt>
                <c:pt idx="76">
                  <c:v>74.7776354367692</c:v>
                </c:pt>
                <c:pt idx="77">
                  <c:v>76.0565325374928</c:v>
                </c:pt>
                <c:pt idx="78">
                  <c:v>77.3561349694682</c:v>
                </c:pt>
                <c:pt idx="79">
                  <c:v>78.6767377395096</c:v>
                </c:pt>
                <c:pt idx="80">
                  <c:v>80.0186386700848</c:v>
                </c:pt>
                <c:pt idx="81">
                  <c:v>81.382138375731</c:v>
                </c:pt>
                <c:pt idx="82">
                  <c:v>82.7675402371349</c:v>
                </c:pt>
                <c:pt idx="83">
                  <c:v>84.1751503728004</c:v>
                </c:pt>
                <c:pt idx="84">
                  <c:v>85.6052776082274</c:v>
                </c:pt>
                <c:pt idx="85">
                  <c:v>87.0582334425229</c:v>
                </c:pt>
                <c:pt idx="86">
                  <c:v>88.5343320123668</c:v>
                </c:pt>
                <c:pt idx="87">
                  <c:v>90.0338900532509</c:v>
                </c:pt>
                <c:pt idx="88">
                  <c:v>91.5572268579119</c:v>
                </c:pt>
                <c:pt idx="89">
                  <c:v>93.1046642318754</c:v>
                </c:pt>
                <c:pt idx="90">
                  <c:v>94.6765264460284</c:v>
                </c:pt>
                <c:pt idx="91">
                  <c:v>96.2731401861383</c:v>
                </c:pt>
                <c:pt idx="92">
                  <c:v>97.8948344992332</c:v>
                </c:pt>
                <c:pt idx="93">
                  <c:v>99.5419407367598</c:v>
                </c:pt>
                <c:pt idx="94">
                  <c:v>101.214792494434</c:v>
                </c:pt>
                <c:pt idx="95">
                  <c:v>102.913725548697</c:v>
                </c:pt>
                <c:pt idx="96">
                  <c:v>104.639077789698</c:v>
                </c:pt>
                <c:pt idx="97">
                  <c:v>106.391189150705</c:v>
                </c:pt>
                <c:pt idx="98">
                  <c:v>108.17040153387</c:v>
                </c:pt>
                <c:pt idx="99">
                  <c:v>109.977058732264</c:v>
                </c:pt>
                <c:pt idx="100">
                  <c:v>111.811506348076</c:v>
                </c:pt>
                <c:pt idx="101">
                  <c:v>113.674091706919</c:v>
                </c:pt>
                <c:pt idx="102">
                  <c:v>115.565163768139</c:v>
                </c:pt>
                <c:pt idx="103">
                  <c:v>117.485073031045</c:v>
                </c:pt>
                <c:pt idx="104">
                  <c:v>119.434171436982</c:v>
                </c:pt>
                <c:pt idx="105">
                  <c:v>121.412812267166</c:v>
                </c:pt>
                <c:pt idx="106">
                  <c:v>123.421350036183</c:v>
                </c:pt>
                <c:pt idx="107">
                  <c:v>125.460140381098</c:v>
                </c:pt>
                <c:pt idx="108">
                  <c:v>127.529539946064</c:v>
                </c:pt>
                <c:pt idx="109">
                  <c:v>129.629906262387</c:v>
                </c:pt>
                <c:pt idx="110">
                  <c:v>131.761597623939</c:v>
                </c:pt>
                <c:pt idx="111">
                  <c:v>133.924972957869</c:v>
                </c:pt>
                <c:pt idx="112">
                  <c:v>136.120391690529</c:v>
                </c:pt>
                <c:pt idx="113">
                  <c:v>138.348213608551</c:v>
                </c:pt>
                <c:pt idx="114">
                  <c:v>140.608798715001</c:v>
                </c:pt>
                <c:pt idx="115">
                  <c:v>142.902507080558</c:v>
                </c:pt>
                <c:pt idx="116">
                  <c:v>145.229698689649</c:v>
                </c:pt>
                <c:pt idx="117">
                  <c:v>147.590733281485</c:v>
                </c:pt>
                <c:pt idx="118">
                  <c:v>149.985970185945</c:v>
                </c:pt>
                <c:pt idx="119">
                  <c:v>152.41576815426</c:v>
                </c:pt>
                <c:pt idx="120">
                  <c:v>154.880485184452</c:v>
                </c:pt>
                <c:pt idx="121">
                  <c:v>157.380478341481</c:v>
                </c:pt>
                <c:pt idx="122">
                  <c:v>159.916103572072</c:v>
                </c:pt>
                <c:pt idx="123">
                  <c:v>162.487715514189</c:v>
                </c:pt>
                <c:pt idx="124">
                  <c:v>165.095667301128</c:v>
                </c:pt>
                <c:pt idx="125">
                  <c:v>167.740310360209</c:v>
                </c:pt>
                <c:pt idx="126">
                  <c:v>170.421994206056</c:v>
                </c:pt>
                <c:pt idx="127">
                  <c:v>173.141066228455</c:v>
                </c:pt>
                <c:pt idx="128">
                  <c:v>175.89787147479</c:v>
                </c:pt>
                <c:pt idx="129">
                  <c:v>178.692752427064</c:v>
                </c:pt>
                <c:pt idx="130">
                  <c:v>181.526048773512</c:v>
                </c:pt>
                <c:pt idx="131">
                  <c:v>184.398097174835</c:v>
                </c:pt>
                <c:pt idx="132">
                  <c:v>187.309231025082</c:v>
                </c:pt>
                <c:pt idx="133">
                  <c:v>190.259780207207</c:v>
                </c:pt>
                <c:pt idx="134">
                  <c:v>193.250070843362</c:v>
                </c:pt>
                <c:pt idx="135">
                  <c:v>196.280425039971</c:v>
                </c:pt>
                <c:pt idx="136">
                  <c:v>199.351160627644</c:v>
                </c:pt>
                <c:pt idx="137">
                  <c:v>202.462590896019</c:v>
                </c:pt>
                <c:pt idx="138">
                  <c:v>205.615024323599</c:v>
                </c:pt>
                <c:pt idx="139">
                  <c:v>208.808764302693</c:v>
                </c:pt>
                <c:pt idx="140">
                  <c:v>212.044108859546</c:v>
                </c:pt>
                <c:pt idx="141">
                  <c:v>215.321350369793</c:v>
                </c:pt>
                <c:pt idx="142">
                  <c:v>218.640775269349</c:v>
                </c:pt>
                <c:pt idx="143">
                  <c:v>222.002663760873</c:v>
                </c:pt>
                <c:pt idx="144">
                  <c:v>225.407289515965</c:v>
                </c:pt>
                <c:pt idx="145">
                  <c:v>228.854919373249</c:v>
                </c:pt>
                <c:pt idx="146">
                  <c:v>232.345813032512</c:v>
                </c:pt>
                <c:pt idx="147">
                  <c:v>235.880222745092</c:v>
                </c:pt>
                <c:pt idx="148">
                  <c:v>239.458393000717</c:v>
                </c:pt>
                <c:pt idx="149">
                  <c:v>243.080560210988</c:v>
                </c:pt>
                <c:pt idx="150">
                  <c:v>246.746952389756</c:v>
                </c:pt>
                <c:pt idx="151">
                  <c:v>250.457788830608</c:v>
                </c:pt>
                <c:pt idx="152">
                  <c:v>254.213279781728</c:v>
                </c:pt>
                <c:pt idx="153">
                  <c:v>258.01362611839</c:v>
                </c:pt>
                <c:pt idx="154">
                  <c:v>261.859019013368</c:v>
                </c:pt>
                <c:pt idx="155">
                  <c:v>265.749639605545</c:v>
                </c:pt>
                <c:pt idx="156">
                  <c:v>269.685658667039</c:v>
                </c:pt>
                <c:pt idx="157">
                  <c:v>273.667236269158</c:v>
                </c:pt>
                <c:pt idx="158">
                  <c:v>277.694521447516</c:v>
                </c:pt>
                <c:pt idx="159">
                  <c:v>281.767651866668</c:v>
                </c:pt>
                <c:pt idx="160">
                  <c:v>285.886753484606</c:v>
                </c:pt>
                <c:pt idx="161">
                  <c:v>290.051940217514</c:v>
                </c:pt>
                <c:pt idx="162">
                  <c:v>294.263313605141</c:v>
                </c:pt>
                <c:pt idx="163">
                  <c:v>298.520962477227</c:v>
                </c:pt>
                <c:pt idx="164">
                  <c:v>302.824962621358</c:v>
                </c:pt>
                <c:pt idx="165">
                  <c:v>307.175376452703</c:v>
                </c:pt>
                <c:pt idx="166">
                  <c:v>311.572252686065</c:v>
                </c:pt>
                <c:pt idx="167">
                  <c:v>316.015626010688</c:v>
                </c:pt>
                <c:pt idx="168">
                  <c:v>320.505516768285</c:v>
                </c:pt>
                <c:pt idx="169">
                  <c:v>325.041930634767</c:v>
                </c:pt>
                <c:pt idx="170">
                  <c:v>329.624858306144</c:v>
                </c:pt>
                <c:pt idx="171">
                  <c:v>334.254275189094</c:v>
                </c:pt>
                <c:pt idx="172">
                  <c:v>338.930141096712</c:v>
                </c:pt>
                <c:pt idx="173">
                  <c:v>343.652399949926</c:v>
                </c:pt>
                <c:pt idx="174">
                  <c:v>348.420979485129</c:v>
                </c:pt>
                <c:pt idx="175">
                  <c:v>353.235790968517</c:v>
                </c:pt>
                <c:pt idx="176">
                  <c:v>358.096728917696</c:v>
                </c:pt>
                <c:pt idx="177">
                  <c:v>363.003670831076</c:v>
                </c:pt>
                <c:pt idx="178">
                  <c:v>367.956476925593</c:v>
                </c:pt>
                <c:pt idx="179">
                  <c:v>372.954989883316</c:v>
                </c:pt>
                <c:pt idx="180">
                  <c:v>377.999034607469</c:v>
                </c:pt>
                <c:pt idx="181">
                  <c:v>383.088417988434</c:v>
                </c:pt>
                <c:pt idx="182">
                  <c:v>388.222928680263</c:v>
                </c:pt>
                <c:pt idx="183">
                  <c:v>393.402336888271</c:v>
                </c:pt>
                <c:pt idx="184">
                  <c:v>398.62639416823</c:v>
                </c:pt>
                <c:pt idx="185">
                  <c:v>403.894833237727</c:v>
                </c:pt>
                <c:pt idx="186">
                  <c:v>409.207367800213</c:v>
                </c:pt>
                <c:pt idx="187">
                  <c:v>414.563692382273</c:v>
                </c:pt>
                <c:pt idx="188">
                  <c:v>419.963482184654</c:v>
                </c:pt>
                <c:pt idx="189">
                  <c:v>425.406392947554</c:v>
                </c:pt>
                <c:pt idx="190">
                  <c:v>430.892060830682</c:v>
                </c:pt>
                <c:pt idx="191">
                  <c:v>436.420102308591</c:v>
                </c:pt>
                <c:pt idx="192">
                  <c:v>441.990114081757</c:v>
                </c:pt>
                <c:pt idx="193">
                  <c:v>447.601673003877</c:v>
                </c:pt>
                <c:pt idx="194">
                  <c:v>453.254336025836</c:v>
                </c:pt>
                <c:pt idx="195">
                  <c:v>458.947640156787</c:v>
                </c:pt>
                <c:pt idx="196">
                  <c:v>464.681102442743</c:v>
                </c:pt>
                <c:pt idx="197">
                  <c:v>470.454219963104</c:v>
                </c:pt>
                <c:pt idx="198">
                  <c:v>476.266469845466</c:v>
                </c:pt>
                <c:pt idx="199">
                  <c:v>482.117309299096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④种族对比!$K$3</c:f>
              <c:strCache>
                <c:ptCount val="1"/>
                <c:pt idx="0">
                  <c:v>沼泽族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④种族对比!$G$4:$G$203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④种族对比!$K$4:$K$203</c:f>
              <c:numCache>
                <c:formatCode>General</c:formatCode>
                <c:ptCount val="200"/>
                <c:pt idx="0">
                  <c:v>20</c:v>
                </c:pt>
                <c:pt idx="1">
                  <c:v>20.6936363636364</c:v>
                </c:pt>
                <c:pt idx="2">
                  <c:v>21.4111009406781</c:v>
                </c:pt>
                <c:pt idx="3">
                  <c:v>22.1531961856372</c:v>
                </c:pt>
                <c:pt idx="4">
                  <c:v>22.9207504414329</c:v>
                </c:pt>
                <c:pt idx="5">
                  <c:v>23.7146186941431</c:v>
                </c:pt>
                <c:pt idx="6">
                  <c:v>24.5356833439411</c:v>
                </c:pt>
                <c:pt idx="7">
                  <c:v>25.3848549921153</c:v>
                </c:pt>
                <c:pt idx="8">
                  <c:v>26.2630732440193</c:v>
                </c:pt>
                <c:pt idx="9">
                  <c:v>27.1713075277565</c:v>
                </c:pt>
                <c:pt idx="10">
                  <c:v>28.110557928343</c:v>
                </c:pt>
                <c:pt idx="11">
                  <c:v>29.0818560370412</c:v>
                </c:pt>
                <c:pt idx="12">
                  <c:v>30.0862658154878</c:v>
                </c:pt>
                <c:pt idx="13">
                  <c:v>31.1248844741775</c:v>
                </c:pt>
                <c:pt idx="14">
                  <c:v>32.1988433647857</c:v>
                </c:pt>
                <c:pt idx="15">
                  <c:v>33.3093088857391</c:v>
                </c:pt>
                <c:pt idx="16">
                  <c:v>34.4574834003556</c:v>
                </c:pt>
                <c:pt idx="17">
                  <c:v>35.6446061667862</c:v>
                </c:pt>
                <c:pt idx="18">
                  <c:v>36.8719542788931</c:v>
                </c:pt>
                <c:pt idx="19">
                  <c:v>38.1408436170943</c:v>
                </c:pt>
                <c:pt idx="20">
                  <c:v>39.4526298080954</c:v>
                </c:pt>
                <c:pt idx="21">
                  <c:v>40.8087091923073</c:v>
                </c:pt>
                <c:pt idx="22">
                  <c:v>42.2105197976254</c:v>
                </c:pt>
                <c:pt idx="23">
                  <c:v>43.659542318108</c:v>
                </c:pt>
                <c:pt idx="24">
                  <c:v>45.1573010959509</c:v>
                </c:pt>
                <c:pt idx="25">
                  <c:v>46.7053651050003</c:v>
                </c:pt>
                <c:pt idx="26">
                  <c:v>48.3053489338863</c:v>
                </c:pt>
                <c:pt idx="27">
                  <c:v>49.9589137666874</c:v>
                </c:pt>
                <c:pt idx="28">
                  <c:v>51.6677683588551</c:v>
                </c:pt>
                <c:pt idx="29">
                  <c:v>53.4336700059371</c:v>
                </c:pt>
                <c:pt idx="30">
                  <c:v>55.2584255024355</c:v>
                </c:pt>
                <c:pt idx="31">
                  <c:v>57.1438920879229</c:v>
                </c:pt>
                <c:pt idx="32">
                  <c:v>59.0919783773168</c:v>
                </c:pt>
                <c:pt idx="33">
                  <c:v>61.1046452719778</c:v>
                </c:pt>
                <c:pt idx="34">
                  <c:v>63.18390684805</c:v>
                </c:pt>
                <c:pt idx="35">
                  <c:v>65.3318312182043</c:v>
                </c:pt>
                <c:pt idx="36">
                  <c:v>67.5505413626772</c:v>
                </c:pt>
                <c:pt idx="37">
                  <c:v>69.8422159252147</c:v>
                </c:pt>
                <c:pt idx="38">
                  <c:v>72.2090899692395</c:v>
                </c:pt>
                <c:pt idx="39">
                  <c:v>74.6534556892553</c:v>
                </c:pt>
                <c:pt idx="40">
                  <c:v>77.1776630721874</c:v>
                </c:pt>
                <c:pt idx="41">
                  <c:v>79.7841205030299</c:v>
                </c:pt>
                <c:pt idx="42">
                  <c:v>82.475295308838</c:v>
                </c:pt>
                <c:pt idx="43">
                  <c:v>85.253714234752</c:v>
                </c:pt>
                <c:pt idx="44">
                  <c:v>88.121963845387</c:v>
                </c:pt>
                <c:pt idx="45">
                  <c:v>91.0826908445579</c:v>
                </c:pt>
                <c:pt idx="46">
                  <c:v>94.1386023059347</c:v>
                </c:pt>
                <c:pt idx="47">
                  <c:v>97.2924658068497</c:v>
                </c:pt>
                <c:pt idx="48">
                  <c:v>100.547109457091</c:v>
                </c:pt>
                <c:pt idx="49">
                  <c:v>103.905421814132</c:v>
                </c:pt>
                <c:pt idx="50">
                  <c:v>107.370351675861</c:v>
                </c:pt>
                <c:pt idx="51">
                  <c:v>110.944907741487</c:v>
                </c:pt>
                <c:pt idx="52">
                  <c:v>114.632158130902</c:v>
                </c:pt>
                <c:pt idx="53">
                  <c:v>118.435229752428</c:v>
                </c:pt>
                <c:pt idx="54">
                  <c:v>122.357307508478</c:v>
                </c:pt>
                <c:pt idx="55">
                  <c:v>126.401633328308</c:v>
                </c:pt>
                <c:pt idx="56">
                  <c:v>130.571505016716</c:v>
                </c:pt>
                <c:pt idx="57">
                  <c:v>134.870274907173</c:v>
                </c:pt>
                <c:pt idx="58">
                  <c:v>139.301348307618</c:v>
                </c:pt>
                <c:pt idx="59">
                  <c:v>143.868181726834</c:v>
                </c:pt>
                <c:pt idx="60">
                  <c:v>148.574280869106</c:v>
                </c:pt>
                <c:pt idx="61">
                  <c:v>153.423198384637</c:v>
                </c:pt>
                <c:pt idx="62">
                  <c:v>158.418531363059</c:v>
                </c:pt>
                <c:pt idx="63">
                  <c:v>163.563918557233</c:v>
                </c:pt>
                <c:pt idx="64">
                  <c:v>168.863037324516</c:v>
                </c:pt>
                <c:pt idx="65">
                  <c:v>174.319600272644</c:v>
                </c:pt>
                <c:pt idx="66">
                  <c:v>179.937351597472</c:v>
                </c:pt>
                <c:pt idx="67">
                  <c:v>185.720063099976</c:v>
                </c:pt>
                <c:pt idx="68">
                  <c:v>191.671529870145</c:v>
                </c:pt>
                <c:pt idx="69">
                  <c:v>197.795565625738</c:v>
                </c:pt>
                <c:pt idx="70">
                  <c:v>204.095997694302</c:v>
                </c:pt>
                <c:pt idx="71">
                  <c:v>210.576661627412</c:v>
                </c:pt>
                <c:pt idx="72">
                  <c:v>217.241395436746</c:v>
                </c:pt>
                <c:pt idx="73">
                  <c:v>224.094033442398</c:v>
                </c:pt>
                <c:pt idx="74">
                  <c:v>231.138399724765</c:v>
                </c:pt>
                <c:pt idx="75">
                  <c:v>238.378301172425</c:v>
                </c:pt>
                <c:pt idx="76">
                  <c:v>245.817520119621</c:v>
                </c:pt>
                <c:pt idx="77">
                  <c:v>253.459806568389</c:v>
                </c:pt>
                <c:pt idx="78">
                  <c:v>261.308869991874</c:v>
                </c:pt>
                <c:pt idx="79">
                  <c:v>269.368370717146</c:v>
                </c:pt>
                <c:pt idx="80">
                  <c:v>277.641910887701</c:v>
                </c:pt>
                <c:pt idx="81">
                  <c:v>286.133025007931</c:v>
                </c:pt>
                <c:pt idx="82">
                  <c:v>294.845170074115</c:v>
                </c:pt>
                <c:pt idx="83">
                  <c:v>303.781715298953</c:v>
                </c:pt>
                <c:pt idx="84">
                  <c:v>312.945931439304</c:v>
                </c:pt>
                <c:pt idx="85">
                  <c:v>322.340979739609</c:v>
                </c:pt>
                <c:pt idx="86">
                  <c:v>331.969900506549</c:v>
                </c:pt>
                <c:pt idx="87">
                  <c:v>341.835601333605</c:v>
                </c:pt>
                <c:pt idx="88">
                  <c:v>351.940844997613</c:v>
                </c:pt>
                <c:pt idx="89">
                  <c:v>362.288237052886</c:v>
                </c:pt>
                <c:pt idx="90">
                  <c:v>372.880213152127</c:v>
                </c:pt>
                <c:pt idx="91">
                  <c:v>383.719026127173</c:v>
                </c:pt>
                <c:pt idx="92">
                  <c:v>394.806732866433</c:v>
                </c:pt>
                <c:pt idx="93">
                  <c:v>406.145181029902</c:v>
                </c:pt>
                <c:pt idx="94">
                  <c:v>417.735995646593</c:v>
                </c:pt>
                <c:pt idx="95">
                  <c:v>429.580565643287</c:v>
                </c:pt>
                <c:pt idx="96">
                  <c:v>441.680030357509</c:v>
                </c:pt>
                <c:pt idx="97">
                  <c:v>454.035266091576</c:v>
                </c:pt>
                <c:pt idx="98">
                  <c:v>466.646872768454</c:v>
                </c:pt>
                <c:pt idx="99">
                  <c:v>479.515160753868</c:v>
                </c:pt>
                <c:pt idx="100">
                  <c:v>492.640137912641</c:v>
                </c:pt>
                <c:pt idx="101">
                  <c:v>506.021496970542</c:v>
                </c:pt>
                <c:pt idx="102">
                  <c:v>519.658603255933</c:v>
                </c:pt>
                <c:pt idx="103">
                  <c:v>533.550482898151</c:v>
                </c:pt>
                <c:pt idx="104">
                  <c:v>547.695811561846</c:v>
                </c:pt>
                <c:pt idx="105">
                  <c:v>562.092903798291</c:v>
                </c:pt>
                <c:pt idx="106">
                  <c:v>576.739703095997</c:v>
                </c:pt>
                <c:pt idx="107">
                  <c:v>591.633772713696</c:v>
                </c:pt>
                <c:pt idx="108">
                  <c:v>606.772287378885</c:v>
                </c:pt>
                <c:pt idx="109">
                  <c:v>622.152025934607</c:v>
                </c:pt>
                <c:pt idx="110">
                  <c:v>637.769365015905</c:v>
                </c:pt>
                <c:pt idx="111">
                  <c:v>653.620273835395</c:v>
                </c:pt>
                <c:pt idx="112">
                  <c:v>669.700310154677</c:v>
                </c:pt>
                <c:pt idx="113">
                  <c:v>686.004617514753</c:v>
                </c:pt>
                <c:pt idx="114">
                  <c:v>702.527923794222</c:v>
                </c:pt>
                <c:pt idx="115">
                  <c:v>719.264541158896</c:v>
                </c:pt>
                <c:pt idx="116">
                  <c:v>736.208367460413</c:v>
                </c:pt>
                <c:pt idx="117">
                  <c:v>753.352889134638</c:v>
                </c:pt>
                <c:pt idx="118">
                  <c:v>770.691185643049</c:v>
                </c:pt>
                <c:pt idx="119">
                  <c:v>788.215935491931</c:v>
                </c:pt>
                <c:pt idx="120">
                  <c:v>805.919423855185</c:v>
                </c:pt>
                <c:pt idx="121">
                  <c:v>823.793551816867</c:v>
                </c:pt>
                <c:pt idx="122">
                  <c:v>841.829847239309</c:v>
                </c:pt>
                <c:pt idx="123">
                  <c:v>860.019477251956</c:v>
                </c:pt>
                <c:pt idx="124">
                  <c:v>878.353262344936</c:v>
                </c:pt>
                <c:pt idx="125">
                  <c:v>896.821692039954</c:v>
                </c:pt>
                <c:pt idx="126">
                  <c:v>915.414942099548</c:v>
                </c:pt>
                <c:pt idx="127">
                  <c:v>934.122893224092</c:v>
                </c:pt>
                <c:pt idx="128">
                  <c:v>952.935151174396</c:v>
                </c:pt>
                <c:pt idx="129">
                  <c:v>971.841068246394</c:v>
                </c:pt>
                <c:pt idx="130">
                  <c:v>990.8297660134</c:v>
                </c:pt>
                <c:pt idx="131">
                  <c:v>1009.89015924085</c:v>
                </c:pt>
                <c:pt idx="132">
                  <c:v>1029.01098086855</c:v>
                </c:pt>
                <c:pt idx="133">
                  <c:v>1048.18080794614</c:v>
                </c:pt>
                <c:pt idx="134">
                  <c:v>1067.3880883992</c:v>
                </c:pt>
                <c:pt idx="135">
                  <c:v>1086.62116849591</c:v>
                </c:pt>
                <c:pt idx="136">
                  <c:v>1105.86832087789</c:v>
                </c:pt>
                <c:pt idx="137">
                  <c:v>1125.11777301351</c:v>
                </c:pt>
                <c:pt idx="138">
                  <c:v>1144.35773592794</c:v>
                </c:pt>
                <c:pt idx="139">
                  <c:v>1163.57643306168</c:v>
                </c:pt>
                <c:pt idx="140">
                  <c:v>1182.76212910739</c:v>
                </c:pt>
                <c:pt idx="141">
                  <c:v>1201.90315867534</c:v>
                </c:pt>
                <c:pt idx="142">
                  <c:v>1220.98795463844</c:v>
                </c:pt>
                <c:pt idx="143">
                  <c:v>1240.00507601078</c:v>
                </c:pt>
                <c:pt idx="144">
                  <c:v>1258.94323521723</c:v>
                </c:pt>
                <c:pt idx="145">
                  <c:v>1277.79132461689</c:v>
                </c:pt>
                <c:pt idx="146">
                  <c:v>1296.53844214925</c:v>
                </c:pt>
                <c:pt idx="147">
                  <c:v>1315.17391597948</c:v>
                </c:pt>
                <c:pt idx="148">
                  <c:v>1333.6873280276</c:v>
                </c:pt>
                <c:pt idx="149">
                  <c:v>1352.06853627541</c:v>
                </c:pt>
                <c:pt idx="150">
                  <c:v>1370.30769575527</c:v>
                </c:pt>
                <c:pt idx="151">
                  <c:v>1388.39527813552</c:v>
                </c:pt>
                <c:pt idx="152">
                  <c:v>1406.32208982835</c:v>
                </c:pt>
                <c:pt idx="153">
                  <c:v>1424.07928855785</c:v>
                </c:pt>
                <c:pt idx="154">
                  <c:v>1441.65839833761</c:v>
                </c:pt>
                <c:pt idx="155">
                  <c:v>1459.05132281925</c:v>
                </c:pt>
                <c:pt idx="156">
                  <c:v>1476.25035698532</c:v>
                </c:pt>
                <c:pt idx="157">
                  <c:v>1493.24819717186</c:v>
                </c:pt>
                <c:pt idx="158">
                  <c:v>1510.0379494172</c:v>
                </c:pt>
                <c:pt idx="159">
                  <c:v>1526.61313614507</c:v>
                </c:pt>
                <c:pt idx="160">
                  <c:v>1542.9677012007</c:v>
                </c:pt>
                <c:pt idx="161">
                  <c:v>1559.09601326855</c:v>
                </c:pt>
                <c:pt idx="162">
                  <c:v>1574.99286770993</c:v>
                </c:pt>
                <c:pt idx="163">
                  <c:v>1590.65348686759</c:v>
                </c:pt>
                <c:pt idx="164">
                  <c:v>1606.07351889207</c:v>
                </c:pt>
                <c:pt idx="165">
                  <c:v>1621.24903515192</c:v>
                </c:pt>
                <c:pt idx="166">
                  <c:v>1636.17652629618</c:v>
                </c:pt>
                <c:pt idx="167">
                  <c:v>1650.85289704287</c:v>
                </c:pt>
                <c:pt idx="168">
                  <c:v>1665.27545977181</c:v>
                </c:pt>
                <c:pt idx="169">
                  <c:v>1679.44192700376</c:v>
                </c:pt>
                <c:pt idx="170">
                  <c:v>1693.35040285061</c:v>
                </c:pt>
                <c:pt idx="171">
                  <c:v>1706.99937352347</c:v>
                </c:pt>
                <c:pt idx="172">
                  <c:v>1720.38769698664</c:v>
                </c:pt>
                <c:pt idx="173">
                  <c:v>1733.51459184571</c:v>
                </c:pt>
                <c:pt idx="174">
                  <c:v>1746.37962555806</c:v>
                </c:pt>
                <c:pt idx="175">
                  <c:v>1758.9827020527</c:v>
                </c:pt>
                <c:pt idx="176">
                  <c:v>1771.32404884535</c:v>
                </c:pt>
                <c:pt idx="177">
                  <c:v>1783.40420373193</c:v>
                </c:pt>
                <c:pt idx="178">
                  <c:v>1795.22400114159</c:v>
                </c:pt>
                <c:pt idx="179">
                  <c:v>1806.78455822717</c:v>
                </c:pt>
                <c:pt idx="180">
                  <c:v>1818.08726076754</c:v>
                </c:pt>
                <c:pt idx="181">
                  <c:v>1829.13374895268</c:v>
                </c:pt>
                <c:pt idx="182">
                  <c:v>1839.92590311852</c:v>
                </c:pt>
                <c:pt idx="183">
                  <c:v>1850.46582949411</c:v>
                </c:pt>
                <c:pt idx="184">
                  <c:v>1860.75584601986</c:v>
                </c:pt>
                <c:pt idx="185">
                  <c:v>1870.79846829083</c:v>
                </c:pt>
                <c:pt idx="186">
                  <c:v>1880.59639567484</c:v>
                </c:pt>
                <c:pt idx="187">
                  <c:v>1890.15249765079</c:v>
                </c:pt>
                <c:pt idx="188">
                  <c:v>1899.46980040804</c:v>
                </c:pt>
                <c:pt idx="189">
                  <c:v>1908.55147374361</c:v>
                </c:pt>
                <c:pt idx="190">
                  <c:v>1917.4008182894</c:v>
                </c:pt>
                <c:pt idx="191">
                  <c:v>1926.02125309808</c:v>
                </c:pt>
                <c:pt idx="192">
                  <c:v>1934.41630361175</c:v>
                </c:pt>
                <c:pt idx="193">
                  <c:v>1942.58959003417</c:v>
                </c:pt>
                <c:pt idx="194">
                  <c:v>1950.54481612363</c:v>
                </c:pt>
                <c:pt idx="195">
                  <c:v>1958.2857584199</c:v>
                </c:pt>
                <c:pt idx="196">
                  <c:v>1965.81625591593</c:v>
                </c:pt>
                <c:pt idx="197">
                  <c:v>1973.14020018171</c:v>
                </c:pt>
                <c:pt idx="198">
                  <c:v>1980.26152594486</c:v>
                </c:pt>
                <c:pt idx="199">
                  <c:v>1987.18420213029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天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人口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c828cb-32db-4be9-91f6-d3df63df39a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同一场瘟疫·四族感染人数对比（抗病力差异）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④种族对比!$N$3</c:f>
              <c:strCache>
                <c:ptCount val="1"/>
                <c:pt idx="0">
                  <c:v>森林族感染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④种族对比!$M$4:$M$123</c:f>
              <c:numCache>
                <c:formatCode>General</c:formatCode>
                <c:ptCount val="1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</c:numCache>
            </c:numRef>
          </c:cat>
          <c:val>
            <c:numRef>
              <c:f>④种族对比!$N$4:$N$123</c:f>
              <c:numCache>
                <c:formatCode>General</c:formatCode>
                <c:ptCount val="120"/>
                <c:pt idx="0">
                  <c:v>1</c:v>
                </c:pt>
                <c:pt idx="1">
                  <c:v>1.29955</c:v>
                </c:pt>
                <c:pt idx="2">
                  <c:v>1.68856730678387</c:v>
                </c:pt>
                <c:pt idx="3">
                  <c:v>2.1935923332376</c:v>
                </c:pt>
                <c:pt idx="4">
                  <c:v>2.84891419142338</c:v>
                </c:pt>
                <c:pt idx="5">
                  <c:v>3.6987473550972</c:v>
                </c:pt>
                <c:pt idx="6">
                  <c:v>4.79996059749701</c:v>
                </c:pt>
                <c:pt idx="7">
                  <c:v>6.2254566645557</c:v>
                </c:pt>
                <c:pt idx="8">
                  <c:v>8.06828717767723</c:v>
                </c:pt>
                <c:pt idx="9">
                  <c:v>10.446542484173</c:v>
                </c:pt>
                <c:pt idx="10">
                  <c:v>13.508956841955</c:v>
                </c:pt>
                <c:pt idx="11">
                  <c:v>17.4409787876529</c:v>
                </c:pt>
                <c:pt idx="12">
                  <c:v>22.4707217168445</c:v>
                </c:pt>
                <c:pt idx="13">
                  <c:v>28.8736607367818</c:v>
                </c:pt>
                <c:pt idx="14">
                  <c:v>36.9741015527809</c:v>
                </c:pt>
                <c:pt idx="15">
                  <c:v>47.140263460281</c:v>
                </c:pt>
                <c:pt idx="16">
                  <c:v>59.7683416688381</c:v>
                </c:pt>
                <c:pt idx="17">
                  <c:v>75.2494455394958</c:v>
                </c:pt>
                <c:pt idx="18">
                  <c:v>93.9126325072944</c:v>
                </c:pt>
                <c:pt idx="19">
                  <c:v>115.938885314408</c:v>
                </c:pt>
                <c:pt idx="20">
                  <c:v>141.24705855789</c:v>
                </c:pt>
                <c:pt idx="21">
                  <c:v>169.365726374384</c:v>
                </c:pt>
                <c:pt idx="22">
                  <c:v>199.324284906885</c:v>
                </c:pt>
                <c:pt idx="23">
                  <c:v>229.616243368825</c:v>
                </c:pt>
                <c:pt idx="24">
                  <c:v>258.292436187448</c:v>
                </c:pt>
                <c:pt idx="25">
                  <c:v>283.213547273868</c:v>
                </c:pt>
                <c:pt idx="26">
                  <c:v>302.425296400341</c:v>
                </c:pt>
                <c:pt idx="27">
                  <c:v>314.544279657878</c:v>
                </c:pt>
                <c:pt idx="28">
                  <c:v>319.012507188554</c:v>
                </c:pt>
                <c:pt idx="29">
                  <c:v>316.129578220368</c:v>
                </c:pt>
                <c:pt idx="30">
                  <c:v>306.875495970895</c:v>
                </c:pt>
                <c:pt idx="31">
                  <c:v>292.621903650231</c:v>
                </c:pt>
                <c:pt idx="32">
                  <c:v>274.845867516756</c:v>
                </c:pt>
                <c:pt idx="33">
                  <c:v>254.919482218541</c:v>
                </c:pt>
                <c:pt idx="34">
                  <c:v>233.994304196648</c:v>
                </c:pt>
                <c:pt idx="35">
                  <c:v>212.963791031403</c:v>
                </c:pt>
                <c:pt idx="36">
                  <c:v>192.475170772729</c:v>
                </c:pt>
                <c:pt idx="37">
                  <c:v>172.965456905415</c:v>
                </c:pt>
                <c:pt idx="38">
                  <c:v>154.704639215656</c:v>
                </c:pt>
                <c:pt idx="39">
                  <c:v>137.836768492702</c:v>
                </c:pt>
                <c:pt idx="40">
                  <c:v>122.414934532003</c:v>
                </c:pt>
                <c:pt idx="41">
                  <c:v>108.429160710685</c:v>
                </c:pt>
                <c:pt idx="42">
                  <c:v>95.827704957945</c:v>
                </c:pt>
                <c:pt idx="43">
                  <c:v>84.5328152451332</c:v>
                </c:pt>
                <c:pt idx="44">
                  <c:v>74.4520816830506</c:v>
                </c:pt>
                <c:pt idx="45">
                  <c:v>65.4864171384237</c:v>
                </c:pt>
                <c:pt idx="46">
                  <c:v>57.535520520062</c:v>
                </c:pt>
                <c:pt idx="47">
                  <c:v>50.5014957851687</c:v>
                </c:pt>
                <c:pt idx="48">
                  <c:v>44.2911410815068</c:v>
                </c:pt>
                <c:pt idx="49">
                  <c:v>38.8172933045177</c:v>
                </c:pt>
                <c:pt idx="50">
                  <c:v>33.9995124940041</c:v>
                </c:pt>
                <c:pt idx="51">
                  <c:v>29.7643137083905</c:v>
                </c:pt>
                <c:pt idx="52">
                  <c:v>26.0450965098719</c:v>
                </c:pt>
                <c:pt idx="53">
                  <c:v>22.7818796113443</c:v>
                </c:pt>
                <c:pt idx="54">
                  <c:v>19.9209169598706</c:v>
                </c:pt>
                <c:pt idx="55">
                  <c:v>17.414248706982</c:v>
                </c:pt>
                <c:pt idx="56">
                  <c:v>15.2192239536562</c:v>
                </c:pt>
                <c:pt idx="57">
                  <c:v>13.2980202069912</c:v>
                </c:pt>
                <c:pt idx="58">
                  <c:v>11.6171759161784</c:v>
                </c:pt>
                <c:pt idx="59">
                  <c:v>10.1471463567164</c:v>
                </c:pt>
                <c:pt idx="60">
                  <c:v>8.86188883280732</c:v>
                </c:pt>
                <c:pt idx="61">
                  <c:v>7.73848017543888</c:v>
                </c:pt>
                <c:pt idx="62">
                  <c:v>6.75676746618095</c:v>
                </c:pt>
                <c:pt idx="63">
                  <c:v>5.89905154948224</c:v>
                </c:pt>
                <c:pt idx="64">
                  <c:v>5.14980201569655</c:v>
                </c:pt>
                <c:pt idx="65">
                  <c:v>4.49540180196255</c:v>
                </c:pt>
                <c:pt idx="66">
                  <c:v>3.9239192655447</c:v>
                </c:pt>
                <c:pt idx="67">
                  <c:v>3.42490545962734</c:v>
                </c:pt>
                <c:pt idx="68">
                  <c:v>2.98921433081242</c:v>
                </c:pt>
                <c:pt idx="69">
                  <c:v>2.6088436218221</c:v>
                </c:pt>
                <c:pt idx="70">
                  <c:v>2.27679437436187</c:v>
                </c:pt>
                <c:pt idx="71">
                  <c:v>1.98694706607821</c:v>
                </c:pt>
                <c:pt idx="72">
                  <c:v>1.73395256828165</c:v>
                </c:pt>
                <c:pt idx="73">
                  <c:v>1.51313626813843</c:v>
                </c:pt>
                <c:pt idx="74">
                  <c:v>1.32041385400772</c:v>
                </c:pt>
                <c:pt idx="75">
                  <c:v>1.15221741140523</c:v>
                </c:pt>
                <c:pt idx="76">
                  <c:v>1.00543061719199</c:v>
                </c:pt>
                <c:pt idx="77">
                  <c:v>0.877331949632111</c:v>
                </c:pt>
                <c:pt idx="78">
                  <c:v>0.765544951335228</c:v>
                </c:pt>
                <c:pt idx="79">
                  <c:v>0.667994690729861</c:v>
                </c:pt>
                <c:pt idx="80">
                  <c:v>0.582869665894035</c:v>
                </c:pt>
                <c:pt idx="81">
                  <c:v>0.508588482811119</c:v>
                </c:pt>
                <c:pt idx="82">
                  <c:v>0.443770719069329</c:v>
                </c:pt>
                <c:pt idx="83">
                  <c:v>0.387211454395804</c:v>
                </c:pt>
                <c:pt idx="84">
                  <c:v>0.337859011947179</c:v>
                </c:pt>
                <c:pt idx="85">
                  <c:v>0.294795509696365</c:v>
                </c:pt>
                <c:pt idx="86">
                  <c:v>0.257219870260826</c:v>
                </c:pt>
                <c:pt idx="87">
                  <c:v>0.224432980771897</c:v>
                </c:pt>
                <c:pt idx="88">
                  <c:v>0.195824732501905</c:v>
                </c:pt>
                <c:pt idx="89">
                  <c:v>0.170862703510713</c:v>
                </c:pt>
                <c:pt idx="90">
                  <c:v>0.149082277059808</c:v>
                </c:pt>
                <c:pt idx="91">
                  <c:v>0.130078014435522</c:v>
                </c:pt>
                <c:pt idx="92">
                  <c:v>0.113496123541676</c:v>
                </c:pt>
                <c:pt idx="93">
                  <c:v>0.0990278845403866</c:v>
                </c:pt>
                <c:pt idx="94">
                  <c:v>0.0864039112720373</c:v>
                </c:pt>
                <c:pt idx="95">
                  <c:v>0.0753891424683632</c:v>
                </c:pt>
                <c:pt idx="96">
                  <c:v>0.06577847014955</c:v>
                </c:pt>
                <c:pt idx="97">
                  <c:v>0.0573929242999952</c:v>
                </c:pt>
                <c:pt idx="98">
                  <c:v>0.050076343153616</c:v>
                </c:pt>
                <c:pt idx="99">
                  <c:v>0.0436924673694804</c:v>
                </c:pt>
                <c:pt idx="100">
                  <c:v>0.0381224042016544</c:v>
                </c:pt>
                <c:pt idx="101">
                  <c:v>0.0332624146037376</c:v>
                </c:pt>
                <c:pt idx="102">
                  <c:v>0.0290219821817985</c:v>
                </c:pt>
                <c:pt idx="103">
                  <c:v>0.0253221281274102</c:v>
                </c:pt>
                <c:pt idx="104">
                  <c:v>0.0220939408200261</c:v>
                </c:pt>
                <c:pt idx="105">
                  <c:v>0.0192772927680705</c:v>
                </c:pt>
                <c:pt idx="106">
                  <c:v>0.0168197210336091</c:v>
                </c:pt>
                <c:pt idx="107">
                  <c:v>0.0146754503199723</c:v>
                </c:pt>
                <c:pt idx="108">
                  <c:v>0.0128045405509578</c:v>
                </c:pt>
                <c:pt idx="109">
                  <c:v>0.0111721430829633</c:v>
                </c:pt>
                <c:pt idx="110">
                  <c:v>0.00974785171021158</c:v>
                </c:pt>
                <c:pt idx="111">
                  <c:v>0.0085051363853767</c:v>
                </c:pt>
                <c:pt idx="112">
                  <c:v>0.0074208491159505</c:v>
                </c:pt>
                <c:pt idx="113">
                  <c:v>0.00647479283905427</c:v>
                </c:pt>
                <c:pt idx="114">
                  <c:v>0.00564934524893918</c:v>
                </c:pt>
                <c:pt idx="115">
                  <c:v>0.00492913057384246</c:v>
                </c:pt>
                <c:pt idx="116">
                  <c:v>0.00430073319112275</c:v>
                </c:pt>
                <c:pt idx="117">
                  <c:v>0.00375244774824205</c:v>
                </c:pt>
                <c:pt idx="118">
                  <c:v>0.00327406113664293</c:v>
                </c:pt>
                <c:pt idx="119">
                  <c:v>0.00285666225850569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④种族对比!$O$3</c:f>
              <c:strCache>
                <c:ptCount val="1"/>
                <c:pt idx="0">
                  <c:v>矮人族感染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④种族对比!$M$4:$M$123</c:f>
              <c:numCache>
                <c:formatCode>General</c:formatCode>
                <c:ptCount val="1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</c:numCache>
            </c:numRef>
          </c:cat>
          <c:val>
            <c:numRef>
              <c:f>④种族对比!$O$4:$O$123</c:f>
              <c:numCache>
                <c:formatCode>General</c:formatCode>
                <c:ptCount val="120"/>
                <c:pt idx="0">
                  <c:v>1</c:v>
                </c:pt>
                <c:pt idx="1">
                  <c:v>1.19965</c:v>
                </c:pt>
                <c:pt idx="2">
                  <c:v>1.43901331233212</c:v>
                </c:pt>
                <c:pt idx="3">
                  <c:v>1.72592502944327</c:v>
                </c:pt>
                <c:pt idx="4">
                  <c:v>2.06973774615495</c:v>
                </c:pt>
                <c:pt idx="5">
                  <c:v>2.48160303759105</c:v>
                </c:pt>
                <c:pt idx="6">
                  <c:v>2.97479964641098</c:v>
                </c:pt>
                <c:pt idx="7">
                  <c:v>3.56511363428651</c:v>
                </c:pt>
                <c:pt idx="8">
                  <c:v>4.27127511088765</c:v>
                </c:pt>
                <c:pt idx="9">
                  <c:v>5.1154547161095</c:v>
                </c:pt>
                <c:pt idx="10">
                  <c:v>6.12382039926766</c:v>
                </c:pt>
                <c:pt idx="11">
                  <c:v>7.32715066569422</c:v>
                </c:pt>
                <c:pt idx="12">
                  <c:v>8.76149361573535</c:v>
                </c:pt>
                <c:pt idx="13">
                  <c:v>10.4688508374907</c:v>
                </c:pt>
                <c:pt idx="14">
                  <c:v>12.497850358533</c:v>
                </c:pt>
                <c:pt idx="15">
                  <c:v>14.9043520414305</c:v>
                </c:pt>
                <c:pt idx="16">
                  <c:v>17.7519005694577</c:v>
                </c:pt>
                <c:pt idx="17">
                  <c:v>21.1119042435532</c:v>
                </c:pt>
                <c:pt idx="18">
                  <c:v>25.063371626844</c:v>
                </c:pt>
                <c:pt idx="19">
                  <c:v>29.6919836287357</c:v>
                </c:pt>
                <c:pt idx="20">
                  <c:v>35.0882198535868</c:v>
                </c:pt>
                <c:pt idx="21">
                  <c:v>41.3442037452287</c:v>
                </c:pt>
                <c:pt idx="22">
                  <c:v>48.5488972594535</c:v>
                </c:pt>
                <c:pt idx="23">
                  <c:v>56.7812880387416</c:v>
                </c:pt>
                <c:pt idx="24">
                  <c:v>66.1013064367597</c:v>
                </c:pt>
                <c:pt idx="25">
                  <c:v>76.5384303952267</c:v>
                </c:pt>
                <c:pt idx="26">
                  <c:v>88.0783261096234</c:v>
                </c:pt>
                <c:pt idx="27">
                  <c:v>100.648454109299</c:v>
                </c:pt>
                <c:pt idx="28">
                  <c:v>114.104315044041</c:v>
                </c:pt>
                <c:pt idx="29">
                  <c:v>128.218800303602</c:v>
                </c:pt>
                <c:pt idx="30">
                  <c:v>142.67771881674</c:v>
                </c:pt>
                <c:pt idx="31">
                  <c:v>157.084662841314</c:v>
                </c:pt>
                <c:pt idx="32">
                  <c:v>170.977610483544</c:v>
                </c:pt>
                <c:pt idx="33">
                  <c:v>183.857857066521</c:v>
                </c:pt>
                <c:pt idx="34">
                  <c:v>195.229195647521</c:v>
                </c:pt>
                <c:pt idx="35">
                  <c:v>204.64237164725</c:v>
                </c:pt>
                <c:pt idx="36">
                  <c:v>211.737707760903</c:v>
                </c:pt>
                <c:pt idx="37">
                  <c:v>216.278378356915</c:v>
                </c:pt>
                <c:pt idx="38">
                  <c:v>218.168505449197</c:v>
                </c:pt>
                <c:pt idx="39">
                  <c:v>217.453603451133</c:v>
                </c:pt>
                <c:pt idx="40">
                  <c:v>214.304774171123</c:v>
                </c:pt>
                <c:pt idx="41">
                  <c:v>208.991153972342</c:v>
                </c:pt>
                <c:pt idx="42">
                  <c:v>201.846598591219</c:v>
                </c:pt>
                <c:pt idx="43">
                  <c:v>193.236354834834</c:v>
                </c:pt>
                <c:pt idx="44">
                  <c:v>183.528020318882</c:v>
                </c:pt>
                <c:pt idx="45">
                  <c:v>173.06917756322</c:v>
                </c:pt>
                <c:pt idx="46">
                  <c:v>162.172336745614</c:v>
                </c:pt>
                <c:pt idx="47">
                  <c:v>151.10657546963</c:v>
                </c:pt>
                <c:pt idx="48">
                  <c:v>140.094591429849</c:v>
                </c:pt>
                <c:pt idx="49">
                  <c:v>129.313680516395</c:v>
                </c:pt>
                <c:pt idx="50">
                  <c:v>118.899253355235</c:v>
                </c:pt>
                <c:pt idx="51">
                  <c:v>108.94975456943</c:v>
                </c:pt>
                <c:pt idx="52">
                  <c:v>99.5321416903455</c:v>
                </c:pt>
                <c:pt idx="53">
                  <c:v>90.6873511172474</c:v>
                </c:pt>
                <c:pt idx="54">
                  <c:v>82.4353986620895</c:v>
                </c:pt>
                <c:pt idx="55">
                  <c:v>74.77992613272</c:v>
                </c:pt>
                <c:pt idx="56">
                  <c:v>67.7121187547216</c:v>
                </c:pt>
                <c:pt idx="57">
                  <c:v>61.2139910964723</c:v>
                </c:pt>
                <c:pt idx="58">
                  <c:v>55.2610820766842</c:v>
                </c:pt>
                <c:pt idx="59">
                  <c:v>49.8246217350525</c:v>
                </c:pt>
                <c:pt idx="60">
                  <c:v>44.8732408943647</c:v>
                </c:pt>
                <c:pt idx="61">
                  <c:v>40.3742948769721</c:v>
                </c:pt>
                <c:pt idx="62">
                  <c:v>36.2948676980832</c:v>
                </c:pt>
                <c:pt idx="63">
                  <c:v>32.6025160531985</c:v>
                </c:pt>
                <c:pt idx="64">
                  <c:v>29.2658044694882</c:v>
                </c:pt>
                <c:pt idx="65">
                  <c:v>26.2546751091589</c:v>
                </c:pt>
                <c:pt idx="66">
                  <c:v>23.540688396219</c:v>
                </c:pt>
                <c:pt idx="67">
                  <c:v>21.0971641238749</c:v>
                </c:pt>
                <c:pt idx="68">
                  <c:v>18.8992470644498</c:v>
                </c:pt>
                <c:pt idx="69">
                  <c:v>16.9239163299867</c:v>
                </c:pt>
                <c:pt idx="70">
                  <c:v>15.149953752341</c:v>
                </c:pt>
                <c:pt idx="71">
                  <c:v>13.5578832766312</c:v>
                </c:pt>
                <c:pt idx="72">
                  <c:v>12.1298906951369</c:v>
                </c:pt>
                <c:pt idx="73">
                  <c:v>10.8497308968886</c:v>
                </c:pt>
                <c:pt idx="74">
                  <c:v>9.7026280859718</c:v>
                </c:pt>
                <c:pt idx="75">
                  <c:v>8.67517305362425</c:v>
                </c:pt>
                <c:pt idx="76">
                  <c:v>7.75522051067898</c:v>
                </c:pt>
                <c:pt idx="77">
                  <c:v>6.93178864291322</c:v>
                </c:pt>
                <c:pt idx="78">
                  <c:v>6.19496239662122</c:v>
                </c:pt>
                <c:pt idx="79">
                  <c:v>5.53580149744288</c:v>
                </c:pt>
                <c:pt idx="80">
                  <c:v>4.94625382121372</c:v>
                </c:pt>
                <c:pt idx="81">
                  <c:v>4.41907444622108</c:v>
                </c:pt>
                <c:pt idx="82">
                  <c:v>3.94775050145253</c:v>
                </c:pt>
                <c:pt idx="83">
                  <c:v>3.52643176889904</c:v>
                </c:pt>
                <c:pt idx="84">
                  <c:v>3.14986688668853</c:v>
                </c:pt>
                <c:pt idx="85">
                  <c:v>2.81334492340255</c:v>
                </c:pt>
                <c:pt idx="86">
                  <c:v>2.51264204415118</c:v>
                </c:pt>
                <c:pt idx="87">
                  <c:v>2.24397295936743</c:v>
                </c:pt>
                <c:pt idx="88">
                  <c:v>2.00394683274594</c:v>
                </c:pt>
                <c:pt idx="89">
                  <c:v>1.78952732131666</c:v>
                </c:pt>
                <c:pt idx="90">
                  <c:v>1.59799642522552</c:v>
                </c:pt>
                <c:pt idx="91">
                  <c:v>1.42692183500843</c:v>
                </c:pt>
                <c:pt idx="92">
                  <c:v>1.2741274781635</c:v>
                </c:pt>
                <c:pt idx="93">
                  <c:v>1.13766698326173</c:v>
                </c:pt>
                <c:pt idx="94">
                  <c:v>1.01579979764246</c:v>
                </c:pt>
                <c:pt idx="95">
                  <c:v>0.906969713141027</c:v>
                </c:pt>
                <c:pt idx="96">
                  <c:v>0.809785572723944</c:v>
                </c:pt>
                <c:pt idx="97">
                  <c:v>0.723003948957176</c:v>
                </c:pt>
                <c:pt idx="98">
                  <c:v>0.645513602622435</c:v>
                </c:pt>
                <c:pt idx="99">
                  <c:v>0.576321546340027</c:v>
                </c:pt>
                <c:pt idx="100">
                  <c:v>0.514540553638485</c:v>
                </c:pt>
                <c:pt idx="101">
                  <c:v>0.459377968470627</c:v>
                </c:pt>
                <c:pt idx="102">
                  <c:v>0.410125683690971</c:v>
                </c:pt>
                <c:pt idx="103">
                  <c:v>0.366151169488043</c:v>
                </c:pt>
                <c:pt idx="104">
                  <c:v>0.326889444234654</c:v>
                </c:pt>
                <c:pt idx="105">
                  <c:v>0.291835890721132</c:v>
                </c:pt>
                <c:pt idx="106">
                  <c:v>0.260539830321542</c:v>
                </c:pt>
                <c:pt idx="107">
                  <c:v>0.232598776366837</c:v>
                </c:pt>
                <c:pt idx="108">
                  <c:v>0.207653295920274</c:v>
                </c:pt>
                <c:pt idx="109">
                  <c:v>0.185382416328308</c:v>
                </c:pt>
                <c:pt idx="110">
                  <c:v>0.165499519412837</c:v>
                </c:pt>
                <c:pt idx="111">
                  <c:v>0.147748672034344</c:v>
                </c:pt>
                <c:pt idx="112">
                  <c:v>0.131901347044005</c:v>
                </c:pt>
                <c:pt idx="113">
                  <c:v>0.117753493406978</c:v>
                </c:pt>
                <c:pt idx="114">
                  <c:v>0.105122918566365</c:v>
                </c:pt>
                <c:pt idx="115">
                  <c:v>0.093846949971978</c:v>
                </c:pt>
                <c:pt idx="116">
                  <c:v>0.0837803461609397</c:v>
                </c:pt>
                <c:pt idx="117">
                  <c:v>0.0747934308858705</c:v>
                </c:pt>
                <c:pt idx="118">
                  <c:v>0.0667704265754728</c:v>
                </c:pt>
                <c:pt idx="119">
                  <c:v>0.0596079659131986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④种族对比!$P$3</c:f>
              <c:strCache>
                <c:ptCount val="1"/>
                <c:pt idx="0">
                  <c:v>游牧族感染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④种族对比!$M$4:$M$123</c:f>
              <c:numCache>
                <c:formatCode>General</c:formatCode>
                <c:ptCount val="1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</c:numCache>
            </c:numRef>
          </c:cat>
          <c:val>
            <c:numRef>
              <c:f>④种族对比!$P$4:$P$123</c:f>
              <c:numCache>
                <c:formatCode>General</c:formatCode>
                <c:ptCount val="120"/>
                <c:pt idx="0">
                  <c:v>1</c:v>
                </c:pt>
                <c:pt idx="1">
                  <c:v>1.2496</c:v>
                </c:pt>
                <c:pt idx="2">
                  <c:v>1.561300423936</c:v>
                </c:pt>
                <c:pt idx="3">
                  <c:v>1.95043972822847</c:v>
                </c:pt>
                <c:pt idx="4">
                  <c:v>2.43608199833697</c:v>
                </c:pt>
                <c:pt idx="5">
                  <c:v>3.04188659389831</c:v>
                </c:pt>
                <c:pt idx="6">
                  <c:v>3.79716087504018</c:v>
                </c:pt>
                <c:pt idx="7">
                  <c:v>4.73812307371025</c:v>
                </c:pt>
                <c:pt idx="8">
                  <c:v>5.9093992394141</c:v>
                </c:pt>
                <c:pt idx="9">
                  <c:v>7.36576929173807</c:v>
                </c:pt>
                <c:pt idx="10">
                  <c:v>9.17415885022498</c:v>
                </c:pt>
                <c:pt idx="11">
                  <c:v>11.4158402609715</c:v>
                </c:pt>
                <c:pt idx="12">
                  <c:v>14.188750471063</c:v>
                </c:pt>
                <c:pt idx="13">
                  <c:v>17.6097449623731</c:v>
                </c:pt>
                <c:pt idx="14">
                  <c:v>21.8164733893216</c:v>
                </c:pt>
                <c:pt idx="15">
                  <c:v>26.9683706461884</c:v>
                </c:pt>
                <c:pt idx="16">
                  <c:v>33.2459969842416</c:v>
                </c:pt>
                <c:pt idx="17">
                  <c:v>40.8476348578327</c:v>
                </c:pt>
                <c:pt idx="18">
                  <c:v>49.9816888719636</c:v>
                </c:pt>
                <c:pt idx="19">
                  <c:v>60.8531220768782</c:v>
                </c:pt>
                <c:pt idx="20">
                  <c:v>73.6420656905318</c:v>
                </c:pt>
                <c:pt idx="21">
                  <c:v>88.4731418455948</c:v>
                </c:pt>
                <c:pt idx="22">
                  <c:v>105.375327498466</c:v>
                </c:pt>
                <c:pt idx="23">
                  <c:v>124.234757030365</c:v>
                </c:pt>
                <c:pt idx="24">
                  <c:v>144.74685618751</c:v>
                </c:pt>
                <c:pt idx="25">
                  <c:v>166.379078066704</c:v>
                </c:pt>
                <c:pt idx="26">
                  <c:v>188.359575684732</c:v>
                </c:pt>
                <c:pt idx="27">
                  <c:v>209.70749723098</c:v>
                </c:pt>
                <c:pt idx="28">
                  <c:v>229.314154299061</c:v>
                </c:pt>
                <c:pt idx="29">
                  <c:v>246.070173439574</c:v>
                </c:pt>
                <c:pt idx="30">
                  <c:v>259.015652337075</c:v>
                </c:pt>
                <c:pt idx="31">
                  <c:v>267.476784266749</c:v>
                </c:pt>
                <c:pt idx="32">
                  <c:v>271.152208698975</c:v>
                </c:pt>
                <c:pt idx="33">
                  <c:v>270.127882463902</c:v>
                </c:pt>
                <c:pt idx="34">
                  <c:v>264.823359118465</c:v>
                </c:pt>
                <c:pt idx="35">
                  <c:v>255.892735415091</c:v>
                </c:pt>
                <c:pt idx="36">
                  <c:v>244.111408913405</c:v>
                </c:pt>
                <c:pt idx="37">
                  <c:v>230.274898147269</c:v>
                </c:pt>
                <c:pt idx="38">
                  <c:v>215.12437311503</c:v>
                </c:pt>
                <c:pt idx="39">
                  <c:v>199.302084071118</c:v>
                </c:pt>
                <c:pt idx="40">
                  <c:v>183.332398317719</c:v>
                </c:pt>
                <c:pt idx="41">
                  <c:v>167.621124786386</c:v>
                </c:pt>
                <c:pt idx="42">
                  <c:v>152.465874140248</c:v>
                </c:pt>
                <c:pt idx="43">
                  <c:v>138.071739527519</c:v>
                </c:pt>
                <c:pt idx="44">
                  <c:v>124.568434823878</c:v>
                </c:pt>
                <c:pt idx="45">
                  <c:v>112.026613806829</c:v>
                </c:pt>
                <c:pt idx="46">
                  <c:v>100.472238913915</c:v>
                </c:pt>
                <c:pt idx="47">
                  <c:v>89.8986007682637</c:v>
                </c:pt>
                <c:pt idx="48">
                  <c:v>80.2760092455415</c:v>
                </c:pt>
                <c:pt idx="49">
                  <c:v>71.5593866042452</c:v>
                </c:pt>
                <c:pt idx="50">
                  <c:v>63.6940747303558</c:v>
                </c:pt>
                <c:pt idx="51">
                  <c:v>56.6201784013991</c:v>
                </c:pt>
                <c:pt idx="52">
                  <c:v>50.2757405123147</c:v>
                </c:pt>
                <c:pt idx="53">
                  <c:v>44.5990045905185</c:v>
                </c:pt>
                <c:pt idx="54">
                  <c:v>39.5299762751765</c:v>
                </c:pt>
                <c:pt idx="55">
                  <c:v>35.0114545442269</c:v>
                </c:pt>
                <c:pt idx="56">
                  <c:v>30.9896677919755</c:v>
                </c:pt>
                <c:pt idx="57">
                  <c:v>27.4146200260875</c:v>
                </c:pt>
                <c:pt idx="58">
                  <c:v>24.2402281960427</c:v>
                </c:pt>
                <c:pt idx="59">
                  <c:v>21.4243123245511</c:v>
                </c:pt>
                <c:pt idx="60">
                  <c:v>18.9284849123666</c:v>
                </c:pt>
                <c:pt idx="61">
                  <c:v>16.7179742710392</c:v>
                </c:pt>
                <c:pt idx="62">
                  <c:v>14.7614073360791</c:v>
                </c:pt>
                <c:pt idx="63">
                  <c:v>13.0305705560468</c:v>
                </c:pt>
                <c:pt idx="64">
                  <c:v>11.5001621739753</c:v>
                </c:pt>
                <c:pt idx="65">
                  <c:v>10.1475452401774</c:v>
                </c:pt>
                <c:pt idx="66">
                  <c:v>8.95250772144137</c:v>
                </c:pt>
                <c:pt idx="67">
                  <c:v>7.8970338664623</c:v>
                </c:pt>
                <c:pt idx="68">
                  <c:v>6.96508936842257</c:v>
                </c:pt>
                <c:pt idx="69">
                  <c:v>6.14242169138305</c:v>
                </c:pt>
                <c:pt idx="70">
                  <c:v>5.41637608846601</c:v>
                </c:pt>
                <c:pt idx="71">
                  <c:v>4.77572725292668</c:v>
                </c:pt>
                <c:pt idx="72">
                  <c:v>4.21052614403844</c:v>
                </c:pt>
                <c:pt idx="73">
                  <c:v>3.71196126941563</c:v>
                </c:pt>
                <c:pt idx="74">
                  <c:v>3.27223354687893</c:v>
                </c:pt>
                <c:pt idx="75">
                  <c:v>2.88444378417533</c:v>
                </c:pt>
                <c:pt idx="76">
                  <c:v>2.54249178267083</c:v>
                </c:pt>
                <c:pt idx="77">
                  <c:v>2.24098607570967</c:v>
                </c:pt>
                <c:pt idx="78">
                  <c:v>1.97516334188962</c:v>
                </c:pt>
                <c:pt idx="79">
                  <c:v>1.74081657932425</c:v>
                </c:pt>
                <c:pt idx="80">
                  <c:v>1.53423118266683</c:v>
                </c:pt>
                <c:pt idx="81">
                  <c:v>1.35212812563387</c:v>
                </c:pt>
                <c:pt idx="82">
                  <c:v>1.1916135146941</c:v>
                </c:pt>
                <c:pt idx="83">
                  <c:v>1.05013384217776</c:v>
                </c:pt>
                <c:pt idx="84">
                  <c:v>0.925436327747826</c:v>
                </c:pt>
                <c:pt idx="85">
                  <c:v>0.81553379494262</c:v>
                </c:pt>
                <c:pt idx="86">
                  <c:v>0.718673583731462</c:v>
                </c:pt>
                <c:pt idx="87">
                  <c:v>0.633310050394426</c:v>
                </c:pt>
                <c:pt idx="88">
                  <c:v>0.558080252424355</c:v>
                </c:pt>
                <c:pt idx="89">
                  <c:v>0.491782458577533</c:v>
                </c:pt>
                <c:pt idx="90">
                  <c:v>0.433357162791252</c:v>
                </c:pt>
                <c:pt idx="91">
                  <c:v>0.381870315627535</c:v>
                </c:pt>
                <c:pt idx="92">
                  <c:v>0.336498518416753</c:v>
                </c:pt>
                <c:pt idx="93">
                  <c:v>0.296515953607383</c:v>
                </c:pt>
                <c:pt idx="94">
                  <c:v>0.261282850230683</c:v>
                </c:pt>
                <c:pt idx="95">
                  <c:v>0.230235306111901</c:v>
                </c:pt>
                <c:pt idx="96">
                  <c:v>0.202876308745286</c:v>
                </c:pt>
                <c:pt idx="97">
                  <c:v>0.178767814829351</c:v>
                </c:pt>
                <c:pt idx="98">
                  <c:v>0.157523764547939</c:v>
                </c:pt>
                <c:pt idx="99">
                  <c:v>0.138803920982781</c:v>
                </c:pt>
                <c:pt idx="100">
                  <c:v>0.122308437739377</c:v>
                </c:pt>
                <c:pt idx="101">
                  <c:v>0.107773069129433</c:v>
                </c:pt>
                <c:pt idx="102">
                  <c:v>0.0949649472337056</c:v>
                </c:pt>
                <c:pt idx="103">
                  <c:v>0.0836788590081858</c:v>
                </c:pt>
                <c:pt idx="104">
                  <c:v>0.0737339644198768</c:v>
                </c:pt>
                <c:pt idx="105">
                  <c:v>0.0649709035188107</c:v>
                </c:pt>
                <c:pt idx="106">
                  <c:v>0.0572492464718111</c:v>
                </c:pt>
                <c:pt idx="107">
                  <c:v>0.0504452459913464</c:v>
                </c:pt>
                <c:pt idx="108">
                  <c:v>0.0444498563705355</c:v>
                </c:pt>
                <c:pt idx="109">
                  <c:v>0.0391669875550338</c:v>
                </c:pt>
                <c:pt idx="110">
                  <c:v>0.0345119664082692</c:v>
                </c:pt>
                <c:pt idx="111">
                  <c:v>0.0304101806153256</c:v>
                </c:pt>
                <c:pt idx="112">
                  <c:v>0.0267958835732927</c:v>
                </c:pt>
                <c:pt idx="113">
                  <c:v>0.0236111411770027</c:v>
                </c:pt>
                <c:pt idx="114">
                  <c:v>0.0208049036685427</c:v>
                </c:pt>
                <c:pt idx="115">
                  <c:v>0.0183321877119954</c:v>
                </c:pt>
                <c:pt idx="116">
                  <c:v>0.0161533556127089</c:v>
                </c:pt>
                <c:pt idx="117">
                  <c:v>0.0142334801506046</c:v>
                </c:pt>
                <c:pt idx="118">
                  <c:v>0.012541784864001</c:v>
                </c:pt>
                <c:pt idx="119">
                  <c:v>0.0110511508257048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④种族对比!$Q$3</c:f>
              <c:strCache>
                <c:ptCount val="1"/>
                <c:pt idx="0">
                  <c:v>沼泽族感染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④种族对比!$M$4:$M$123</c:f>
              <c:numCache>
                <c:formatCode>General</c:formatCode>
                <c:ptCount val="1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</c:numCache>
            </c:numRef>
          </c:cat>
          <c:val>
            <c:numRef>
              <c:f>④种族对比!$Q$4:$Q$123</c:f>
              <c:numCache>
                <c:formatCode>General</c:formatCode>
                <c:ptCount val="120"/>
                <c:pt idx="0">
                  <c:v>1</c:v>
                </c:pt>
                <c:pt idx="1">
                  <c:v>1.0498</c:v>
                </c:pt>
                <c:pt idx="2">
                  <c:v>1.102038089992</c:v>
                </c:pt>
                <c:pt idx="3">
                  <c:v>1.15682932817094</c:v>
                </c:pt>
                <c:pt idx="4">
                  <c:v>1.21429375959837</c:v>
                </c:pt>
                <c:pt idx="5">
                  <c:v>1.27455658607263</c:v>
                </c:pt>
                <c:pt idx="6">
                  <c:v>1.33774833668173</c:v>
                </c:pt>
                <c:pt idx="7">
                  <c:v>1.40400503835089</c:v>
                </c:pt>
                <c:pt idx="8">
                  <c:v>1.47346838560109</c:v>
                </c:pt>
                <c:pt idx="9">
                  <c:v>1.54628590863113</c:v>
                </c:pt>
                <c:pt idx="10">
                  <c:v>1.62261113872218</c:v>
                </c:pt>
                <c:pt idx="11">
                  <c:v>1.70260376984001</c:v>
                </c:pt>
                <c:pt idx="12">
                  <c:v>1.7864298151759</c:v>
                </c:pt>
                <c:pt idx="13">
                  <c:v>1.87426175722166</c:v>
                </c:pt>
                <c:pt idx="14">
                  <c:v>1.96627868981684</c:v>
                </c:pt>
                <c:pt idx="15">
                  <c:v>2.06266645043698</c:v>
                </c:pt>
                <c:pt idx="16">
                  <c:v>2.16361774080905</c:v>
                </c:pt>
                <c:pt idx="17">
                  <c:v>2.2693322337454</c:v>
                </c:pt>
                <c:pt idx="18">
                  <c:v>2.38001666387862</c:v>
                </c:pt>
                <c:pt idx="19">
                  <c:v>2.49588489975755</c:v>
                </c:pt>
                <c:pt idx="20">
                  <c:v>2.61715799452914</c:v>
                </c:pt>
                <c:pt idx="21">
                  <c:v>2.74406421218139</c:v>
                </c:pt>
                <c:pt idx="22">
                  <c:v>2.87683902606075</c:v>
                </c:pt>
                <c:pt idx="23">
                  <c:v>3.01572508610232</c:v>
                </c:pt>
                <c:pt idx="24">
                  <c:v>3.16097215092535</c:v>
                </c:pt>
                <c:pt idx="25">
                  <c:v>3.31283698064962</c:v>
                </c:pt>
                <c:pt idx="26">
                  <c:v>3.47158318598308</c:v>
                </c:pt>
                <c:pt idx="27">
                  <c:v>3.63748102881925</c:v>
                </c:pt>
                <c:pt idx="28">
                  <c:v>3.81080716926678</c:v>
                </c:pt>
                <c:pt idx="29">
                  <c:v>3.9918443537165</c:v>
                </c:pt>
                <c:pt idx="30">
                  <c:v>4.18088103823751</c:v>
                </c:pt>
                <c:pt idx="31">
                  <c:v>4.37821094128703</c:v>
                </c:pt>
                <c:pt idx="32">
                  <c:v>4.58413251942503</c:v>
                </c:pt>
                <c:pt idx="33">
                  <c:v>4.79894835944981</c:v>
                </c:pt>
                <c:pt idx="34">
                  <c:v>5.02296448012214</c:v>
                </c:pt>
                <c:pt idx="35">
                  <c:v>5.2564895364311</c:v>
                </c:pt>
                <c:pt idx="36">
                  <c:v>5.49983391918427</c:v>
                </c:pt>
                <c:pt idx="37">
                  <c:v>5.75330874258831</c:v>
                </c:pt>
                <c:pt idx="38">
                  <c:v>6.01722471243514</c:v>
                </c:pt>
                <c:pt idx="39">
                  <c:v>6.29189086753635</c:v>
                </c:pt>
                <c:pt idx="40">
                  <c:v>6.57761318716894</c:v>
                </c:pt>
                <c:pt idx="41">
                  <c:v>6.87469305752323</c:v>
                </c:pt>
                <c:pt idx="42">
                  <c:v>7.18342559049601</c:v>
                </c:pt>
                <c:pt idx="43">
                  <c:v>7.50409778866534</c:v>
                </c:pt>
                <c:pt idx="44">
                  <c:v>7.83698655093668</c:v>
                </c:pt>
                <c:pt idx="45">
                  <c:v>8.18235651418137</c:v>
                </c:pt>
                <c:pt idx="46">
                  <c:v>8.54045772721769</c:v>
                </c:pt>
                <c:pt idx="47">
                  <c:v>8.91152315472976</c:v>
                </c:pt>
                <c:pt idx="48">
                  <c:v>9.2957660102005</c:v>
                </c:pt>
                <c:pt idx="49">
                  <c:v>9.69337691866713</c:v>
                </c:pt>
                <c:pt idx="50">
                  <c:v>10.1045209121091</c:v>
                </c:pt>
                <c:pt idx="51">
                  <c:v>10.5293342625595</c:v>
                </c:pt>
                <c:pt idx="52">
                  <c:v>10.9679211606056</c:v>
                </c:pt>
                <c:pt idx="53">
                  <c:v>11.4203502498106</c:v>
                </c:pt>
                <c:pt idx="54">
                  <c:v>11.8866510307584</c:v>
                </c:pt>
                <c:pt idx="55">
                  <c:v>12.3668101518744</c:v>
                </c:pt>
                <c:pt idx="56">
                  <c:v>12.8607676079114</c:v>
                </c:pt>
                <c:pt idx="57">
                  <c:v>13.3684128709686</c:v>
                </c:pt>
                <c:pt idx="58">
                  <c:v>13.889580983119</c:v>
                </c:pt>
                <c:pt idx="59">
                  <c:v>14.4240486440968</c:v>
                </c:pt>
                <c:pt idx="60">
                  <c:v>14.9715303319904</c:v>
                </c:pt>
                <c:pt idx="61">
                  <c:v>15.5316744994345</c:v>
                </c:pt>
                <c:pt idx="62">
                  <c:v>16.1040598922995</c:v>
                </c:pt>
                <c:pt idx="63">
                  <c:v>16.6881920422527</c:v>
                </c:pt>
                <c:pt idx="64">
                  <c:v>17.2834999886984</c:v>
                </c:pt>
                <c:pt idx="65">
                  <c:v>17.8893332893657</c:v>
                </c:pt>
                <c:pt idx="66">
                  <c:v>18.5049593820729</c:v>
                </c:pt>
                <c:pt idx="67">
                  <c:v>19.1295613628077</c:v>
                </c:pt>
                <c:pt idx="68">
                  <c:v>19.762236247074</c:v>
                </c:pt>
                <c:pt idx="69">
                  <c:v>20.4019937823084</c:v>
                </c:pt>
                <c:pt idx="70">
                  <c:v>21.0477558789174</c:v>
                </c:pt>
                <c:pt idx="71">
                  <c:v>21.6983567259693</c:v>
                </c:pt>
                <c:pt idx="72">
                  <c:v>22.3525436546743</c:v>
                </c:pt>
                <c:pt idx="73">
                  <c:v>23.0089788083641</c:v>
                </c:pt>
                <c:pt idx="74">
                  <c:v>23.6662416716681</c:v>
                </c:pt>
                <c:pt idx="75">
                  <c:v>24.3228325038958</c:v>
                </c:pt>
                <c:pt idx="76">
                  <c:v>24.9771767122702</c:v>
                </c:pt>
                <c:pt idx="77">
                  <c:v>25.6276301896226</c:v>
                </c:pt>
                <c:pt idx="78">
                  <c:v>26.272485628545</c:v>
                </c:pt>
                <c:pt idx="79">
                  <c:v>26.9099798099118</c:v>
                </c:pt>
                <c:pt idx="80">
                  <c:v>27.5383018483336</c:v>
                </c:pt>
                <c:pt idx="81">
                  <c:v>28.1556023607153</c:v>
                </c:pt>
                <c:pt idx="82">
                  <c:v>28.7600035069796</c:v>
                </c:pt>
                <c:pt idx="83">
                  <c:v>29.3496098345166</c:v>
                </c:pt>
                <c:pt idx="84">
                  <c:v>29.9225198404458</c:v>
                </c:pt>
                <c:pt idx="85">
                  <c:v>30.4768381487511</c:v>
                </c:pt>
                <c:pt idx="86">
                  <c:v>31.0106881832334</c:v>
                </c:pt>
                <c:pt idx="87">
                  <c:v>31.522225202489</c:v>
                </c:pt>
                <c:pt idx="88">
                  <c:v>32.0096495502263</c:v>
                </c:pt>
                <c:pt idx="89">
                  <c:v>32.4712199636118</c:v>
                </c:pt>
                <c:pt idx="90">
                  <c:v>32.9052667743995</c:v>
                </c:pt>
                <c:pt idx="91">
                  <c:v>33.3102048326743</c:v>
                </c:pt>
                <c:pt idx="92">
                  <c:v>33.6845459814051</c:v>
                </c:pt>
                <c:pt idx="93">
                  <c:v>34.0269109118368</c:v>
                </c:pt>
                <c:pt idx="94">
                  <c:v>34.3360402351326</c:v>
                </c:pt>
                <c:pt idx="95">
                  <c:v>34.6108046145906</c:v>
                </c:pt>
                <c:pt idx="96">
                  <c:v>34.8502138150684</c:v>
                </c:pt>
                <c:pt idx="97">
                  <c:v>35.0534245417226</c:v>
                </c:pt>
                <c:pt idx="98">
                  <c:v>35.219746958469</c:v>
                </c:pt>
                <c:pt idx="99">
                  <c:v>35.3486497972635</c:v>
                </c:pt>
                <c:pt idx="100">
                  <c:v>35.439763991899</c:v>
                </c:pt>
                <c:pt idx="101">
                  <c:v>35.492884793934</c:v>
                </c:pt>
                <c:pt idx="102">
                  <c:v>35.5079723530326</c:v>
                </c:pt>
                <c:pt idx="103">
                  <c:v>35.4851507687684</c:v>
                </c:pt>
                <c:pt idx="104">
                  <c:v>35.4247056452271</c:v>
                </c:pt>
                <c:pt idx="105">
                  <c:v>35.3270802029476</c:v>
                </c:pt>
                <c:pt idx="106">
                  <c:v>35.1928700243205</c:v>
                </c:pt>
                <c:pt idx="107">
                  <c:v>35.0228165280601</c:v>
                </c:pt>
                <c:pt idx="108">
                  <c:v>34.8177992853562</c:v>
                </c:pt>
                <c:pt idx="109">
                  <c:v>34.5788273045171</c:v>
                </c:pt>
                <c:pt idx="110">
                  <c:v>34.3070294220873</c:v>
                </c:pt>
                <c:pt idx="111">
                  <c:v>34.0036439464704</c:v>
                </c:pt>
                <c:pt idx="112">
                  <c:v>33.6700077049636</c:v>
                </c:pt>
                <c:pt idx="113">
                  <c:v>33.3075446468979</c:v>
                </c:pt>
                <c:pt idx="114">
                  <c:v>32.9177541544055</c:v>
                </c:pt>
                <c:pt idx="115">
                  <c:v>32.5021992084416</c:v>
                </c:pt>
                <c:pt idx="116">
                  <c:v>32.0624945513221</c:v>
                </c:pt>
                <c:pt idx="117">
                  <c:v>31.6002949785462</c:v>
                </c:pt>
                <c:pt idx="118">
                  <c:v>31.1172838823831</c:v>
                </c:pt>
                <c:pt idx="119">
                  <c:v>30.6151621579947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天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感染人数 I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968d02-529a-4f35-aa5b-7bd3f0dcebe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13</xdr:row>
      <xdr:rowOff>0</xdr:rowOff>
    </xdr:from>
    <xdr:ext cx="7200000" cy="3628620"/>
    <xdr:graphicFrame>
      <xdr:nvGraphicFramePr>
        <xdr:cNvPr id="2" name="Chart 1"/>
        <xdr:cNvGraphicFramePr/>
      </xdr:nvGraphicFramePr>
      <xdr:xfrm>
        <a:off x="0" y="2819400"/>
        <a:ext cx="7199630" cy="3628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200000" cy="3628620"/>
    <xdr:graphicFrame>
      <xdr:nvGraphicFramePr>
        <xdr:cNvPr id="2" name="Chart 1"/>
        <xdr:cNvGraphicFramePr/>
      </xdr:nvGraphicFramePr>
      <xdr:xfrm>
        <a:off x="0" y="3246120"/>
        <a:ext cx="7199630" cy="3628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7200000" cy="3628620"/>
    <xdr:graphicFrame>
      <xdr:nvGraphicFramePr>
        <xdr:cNvPr id="2" name="Chart 1"/>
        <xdr:cNvGraphicFramePr/>
      </xdr:nvGraphicFramePr>
      <xdr:xfrm>
        <a:off x="0" y="3032760"/>
        <a:ext cx="7199630" cy="3628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17</xdr:row>
      <xdr:rowOff>0</xdr:rowOff>
    </xdr:from>
    <xdr:ext cx="7200000" cy="3425760"/>
    <xdr:graphicFrame>
      <xdr:nvGraphicFramePr>
        <xdr:cNvPr id="2" name="Chart 1"/>
        <xdr:cNvGraphicFramePr/>
      </xdr:nvGraphicFramePr>
      <xdr:xfrm>
        <a:off x="0" y="3672840"/>
        <a:ext cx="7199630" cy="3425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7200000" cy="3425760"/>
    <xdr:graphicFrame>
      <xdr:nvGraphicFramePr>
        <xdr:cNvPr id="3" name="Chart 2"/>
        <xdr:cNvGraphicFramePr/>
      </xdr:nvGraphicFramePr>
      <xdr:xfrm>
        <a:off x="0" y="7299960"/>
        <a:ext cx="7199630" cy="3425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1" sqref="A1"/>
    </sheetView>
  </sheetViews>
  <sheetFormatPr defaultColWidth="9" defaultRowHeight="16.8" outlineLevelCol="2"/>
  <cols>
    <col min="1" max="1" width="26" customWidth="1"/>
    <col min="2" max="2" width="14" customWidth="1"/>
    <col min="3" max="3" width="60" customWidth="1"/>
  </cols>
  <sheetData>
    <row r="1" ht="23.2" spans="1:1">
      <c r="A1" s="12" t="s">
        <v>0</v>
      </c>
    </row>
    <row r="2" spans="1:1">
      <c r="A2" s="13" t="s">
        <v>1</v>
      </c>
    </row>
    <row r="4" spans="1:3">
      <c r="A4" s="9" t="s">
        <v>2</v>
      </c>
      <c r="B4" s="9" t="s">
        <v>3</v>
      </c>
      <c r="C4" s="9" t="s">
        <v>4</v>
      </c>
    </row>
    <row r="5" spans="1:3">
      <c r="A5" s="14" t="s">
        <v>5</v>
      </c>
      <c r="B5" s="14" t="s">
        <v>6</v>
      </c>
      <c r="C5" s="14" t="s">
        <v>7</v>
      </c>
    </row>
    <row r="6" ht="31" spans="1:3">
      <c r="A6" s="14" t="s">
        <v>8</v>
      </c>
      <c r="B6" s="14" t="s">
        <v>9</v>
      </c>
      <c r="C6" s="14" t="s">
        <v>10</v>
      </c>
    </row>
    <row r="7" ht="31" spans="1:3">
      <c r="A7" s="14" t="s">
        <v>11</v>
      </c>
      <c r="B7" s="14" t="s">
        <v>12</v>
      </c>
      <c r="C7" s="14" t="s">
        <v>13</v>
      </c>
    </row>
    <row r="8" spans="1:3">
      <c r="A8" s="14" t="s">
        <v>14</v>
      </c>
      <c r="B8" s="14" t="s">
        <v>15</v>
      </c>
      <c r="C8" s="14" t="s">
        <v>16</v>
      </c>
    </row>
    <row r="11" ht="17.6" spans="1:1">
      <c r="A11" s="15" t="s">
        <v>17</v>
      </c>
    </row>
    <row r="12" spans="1:3">
      <c r="A12" s="4" t="s">
        <v>18</v>
      </c>
      <c r="C12" s="16" t="s">
        <v>19</v>
      </c>
    </row>
    <row r="13" spans="1:3">
      <c r="A13" s="4" t="s">
        <v>20</v>
      </c>
      <c r="C13" s="16" t="s">
        <v>21</v>
      </c>
    </row>
    <row r="14" spans="1:3">
      <c r="A14" s="4" t="s">
        <v>22</v>
      </c>
      <c r="C14" s="16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3"/>
  <sheetViews>
    <sheetView workbookViewId="0">
      <selection activeCell="A1" sqref="A1"/>
    </sheetView>
  </sheetViews>
  <sheetFormatPr defaultColWidth="9" defaultRowHeight="16.8" outlineLevelCol="7"/>
  <cols>
    <col min="1" max="1" width="22" customWidth="1"/>
    <col min="2" max="2" width="12" customWidth="1"/>
    <col min="3" max="3" width="30" customWidth="1"/>
    <col min="5" max="8" width="11" customWidth="1"/>
  </cols>
  <sheetData>
    <row r="1" ht="20.4" spans="1:1">
      <c r="A1" s="1" t="s">
        <v>24</v>
      </c>
    </row>
    <row r="3" spans="1:8">
      <c r="A3" s="4" t="s">
        <v>25</v>
      </c>
      <c r="B3" s="6">
        <v>10</v>
      </c>
      <c r="C3" s="10" t="s">
        <v>26</v>
      </c>
      <c r="E3" s="9" t="s">
        <v>27</v>
      </c>
      <c r="F3" s="9" t="s">
        <v>28</v>
      </c>
      <c r="G3" s="9" t="s">
        <v>29</v>
      </c>
      <c r="H3" s="9" t="s">
        <v>30</v>
      </c>
    </row>
    <row r="4" spans="1:8">
      <c r="A4" s="4" t="s">
        <v>31</v>
      </c>
      <c r="B4" s="6">
        <v>0.08</v>
      </c>
      <c r="C4" s="10" t="s">
        <v>32</v>
      </c>
      <c r="E4">
        <v>0</v>
      </c>
      <c r="F4">
        <f>$B$3</f>
        <v>10</v>
      </c>
      <c r="G4">
        <f>$B$5</f>
        <v>2000</v>
      </c>
      <c r="H4">
        <v>0</v>
      </c>
    </row>
    <row r="5" spans="1:8">
      <c r="A5" s="4" t="s">
        <v>33</v>
      </c>
      <c r="B5" s="6">
        <v>2000</v>
      </c>
      <c r="C5" s="10" t="s">
        <v>34</v>
      </c>
      <c r="E5">
        <f t="shared" ref="E5:E68" si="0">E4+1</f>
        <v>1</v>
      </c>
      <c r="F5">
        <f t="shared" ref="F5:F68" si="1">F4+H4</f>
        <v>10</v>
      </c>
      <c r="G5">
        <f>IF(E5&gt;=$B$7,$B$6,$B$5)</f>
        <v>2000</v>
      </c>
      <c r="H5">
        <f>$B$4*F5*(1-F5/G5)</f>
        <v>0.796</v>
      </c>
    </row>
    <row r="6" spans="1:8">
      <c r="A6" s="4" t="s">
        <v>35</v>
      </c>
      <c r="B6" s="6">
        <v>800</v>
      </c>
      <c r="C6" s="10" t="s">
        <v>36</v>
      </c>
      <c r="E6">
        <f t="shared" si="0"/>
        <v>2</v>
      </c>
      <c r="F6">
        <f t="shared" si="1"/>
        <v>10.796</v>
      </c>
      <c r="G6">
        <f>IF(E6&gt;=$B$7,$B$6,$B$5)</f>
        <v>2000</v>
      </c>
      <c r="H6">
        <f>$B$4*F6*(1-F6/G6)</f>
        <v>0.85901785536</v>
      </c>
    </row>
    <row r="7" spans="1:8">
      <c r="A7" s="4" t="s">
        <v>37</v>
      </c>
      <c r="B7" s="6">
        <v>120</v>
      </c>
      <c r="C7" s="10" t="s">
        <v>38</v>
      </c>
      <c r="E7">
        <f t="shared" si="0"/>
        <v>3</v>
      </c>
      <c r="F7">
        <f t="shared" si="1"/>
        <v>11.65501785536</v>
      </c>
      <c r="G7">
        <f>IF(E7&gt;=$B$7,$B$6,$B$5)</f>
        <v>2000</v>
      </c>
      <c r="H7">
        <f>$B$4*F7*(1-F7/G7)</f>
        <v>0.92696785078045</v>
      </c>
    </row>
    <row r="8" spans="5:8">
      <c r="E8">
        <f t="shared" si="0"/>
        <v>4</v>
      </c>
      <c r="F8">
        <f t="shared" si="1"/>
        <v>12.5819857061404</v>
      </c>
      <c r="G8">
        <f>IF(E8&gt;=$B$7,$B$6,$B$5)</f>
        <v>2000</v>
      </c>
      <c r="H8">
        <f>$B$4*F8*(1-F8/G8)</f>
        <v>1.00022660191886</v>
      </c>
    </row>
    <row r="9" spans="1:8">
      <c r="A9" s="8" t="s">
        <v>39</v>
      </c>
      <c r="E9">
        <f t="shared" si="0"/>
        <v>5</v>
      </c>
      <c r="F9">
        <f t="shared" si="1"/>
        <v>13.5822123080593</v>
      </c>
      <c r="G9">
        <f>IF(E9&gt;=$B$7,$B$6,$B$5)</f>
        <v>2000</v>
      </c>
      <c r="H9">
        <f>$B$4*F9*(1-F9/G9)</f>
        <v>1.0791979249975</v>
      </c>
    </row>
    <row r="10" spans="5:8">
      <c r="E10">
        <f t="shared" si="0"/>
        <v>6</v>
      </c>
      <c r="F10">
        <f t="shared" si="1"/>
        <v>14.6614102330568</v>
      </c>
      <c r="G10">
        <f>IF(E10&gt;=$B$7,$B$6,$B$5)</f>
        <v>2000</v>
      </c>
      <c r="H10">
        <f>$B$4*F10*(1-F10/G10)</f>
        <v>1.16431454064366</v>
      </c>
    </row>
    <row r="11" spans="5:8">
      <c r="E11">
        <f t="shared" si="0"/>
        <v>7</v>
      </c>
      <c r="F11">
        <f t="shared" si="1"/>
        <v>15.8257247737005</v>
      </c>
      <c r="G11">
        <f>IF(E11&gt;=$B$7,$B$6,$B$5)</f>
        <v>2000</v>
      </c>
      <c r="H11">
        <f>$B$4*F11*(1-F11/G11)</f>
        <v>1.25603983931152</v>
      </c>
    </row>
    <row r="12" spans="5:8">
      <c r="E12">
        <f t="shared" si="0"/>
        <v>8</v>
      </c>
      <c r="F12">
        <f t="shared" si="1"/>
        <v>17.081764613012</v>
      </c>
      <c r="G12">
        <f>IF(E12&gt;=$B$7,$B$6,$B$5)</f>
        <v>2000</v>
      </c>
      <c r="H12">
        <f>$B$4*F12*(1-F12/G12)</f>
        <v>1.35486970174918</v>
      </c>
    </row>
    <row r="13" spans="5:8">
      <c r="E13">
        <f t="shared" si="0"/>
        <v>9</v>
      </c>
      <c r="F13">
        <f t="shared" si="1"/>
        <v>18.4366343147612</v>
      </c>
      <c r="G13">
        <f>IF(E13&gt;=$B$7,$B$6,$B$5)</f>
        <v>2000</v>
      </c>
      <c r="H13">
        <f>$B$4*F13*(1-F13/G13)</f>
        <v>1.46133436578664</v>
      </c>
    </row>
    <row r="14" spans="5:8">
      <c r="E14">
        <f t="shared" si="0"/>
        <v>10</v>
      </c>
      <c r="F14">
        <f t="shared" si="1"/>
        <v>19.8979686805478</v>
      </c>
      <c r="G14">
        <f>IF(E14&gt;=$B$7,$B$6,$B$5)</f>
        <v>2000</v>
      </c>
      <c r="H14">
        <f>$B$4*F14*(1-F14/G14)</f>
        <v>1.57600032813934</v>
      </c>
    </row>
    <row r="15" spans="5:8">
      <c r="E15">
        <f t="shared" si="0"/>
        <v>11</v>
      </c>
      <c r="F15">
        <f t="shared" si="1"/>
        <v>21.4739690086872</v>
      </c>
      <c r="G15">
        <f>IF(E15&gt;=$B$7,$B$6,$B$5)</f>
        <v>2000</v>
      </c>
      <c r="H15">
        <f>$B$4*F15*(1-F15/G15)</f>
        <v>1.69947226689553</v>
      </c>
    </row>
    <row r="16" spans="5:8">
      <c r="E16">
        <f t="shared" si="0"/>
        <v>12</v>
      </c>
      <c r="F16">
        <f t="shared" si="1"/>
        <v>23.1734412755827</v>
      </c>
      <c r="G16">
        <f>IF(E16&gt;=$B$7,$B$6,$B$5)</f>
        <v>2000</v>
      </c>
      <c r="H16">
        <f>$B$4*F16*(1-F16/G16)</f>
        <v>1.8323949668245</v>
      </c>
    </row>
    <row r="17" spans="5:8">
      <c r="E17">
        <f t="shared" si="0"/>
        <v>13</v>
      </c>
      <c r="F17">
        <f t="shared" si="1"/>
        <v>25.0058362424072</v>
      </c>
      <c r="G17">
        <f>IF(E17&gt;=$B$7,$B$6,$B$5)</f>
        <v>2000</v>
      </c>
      <c r="H17">
        <f>$B$4*F17*(1-F17/G17)</f>
        <v>1.97545522554529</v>
      </c>
    </row>
    <row r="18" spans="5:8">
      <c r="E18">
        <f t="shared" si="0"/>
        <v>14</v>
      </c>
      <c r="F18">
        <f t="shared" si="1"/>
        <v>26.9812914679525</v>
      </c>
      <c r="G18">
        <f>IF(E18&gt;=$B$7,$B$6,$B$5)</f>
        <v>2000</v>
      </c>
      <c r="H18">
        <f>$B$4*F18*(1-F18/G18)</f>
        <v>2.12938371386505</v>
      </c>
    </row>
    <row r="19" spans="5:8">
      <c r="E19">
        <f t="shared" si="0"/>
        <v>15</v>
      </c>
      <c r="F19">
        <f t="shared" si="1"/>
        <v>29.1106751818175</v>
      </c>
      <c r="G19">
        <f>IF(E19&gt;=$B$7,$B$6,$B$5)</f>
        <v>2000</v>
      </c>
      <c r="H19">
        <f>$B$4*F19*(1-F19/G19)</f>
        <v>2.29495675816375</v>
      </c>
    </row>
    <row r="20" spans="5:8">
      <c r="E20">
        <f t="shared" si="0"/>
        <v>16</v>
      </c>
      <c r="F20">
        <f t="shared" si="1"/>
        <v>31.4056319399813</v>
      </c>
      <c r="G20">
        <f>IF(E20&gt;=$B$7,$B$6,$B$5)</f>
        <v>2000</v>
      </c>
      <c r="H20">
        <f>$B$4*F20*(1-F20/G20)</f>
        <v>2.47299800649652</v>
      </c>
    </row>
    <row r="21" spans="5:8">
      <c r="E21">
        <f t="shared" si="0"/>
        <v>17</v>
      </c>
      <c r="F21">
        <f t="shared" si="1"/>
        <v>33.8786299464778</v>
      </c>
      <c r="G21">
        <f>IF(E21&gt;=$B$7,$B$6,$B$5)</f>
        <v>2000</v>
      </c>
      <c r="H21">
        <f>$B$4*F21*(1-F21/G21)</f>
        <v>2.66437993303621</v>
      </c>
    </row>
    <row r="22" spans="5:8">
      <c r="E22">
        <f t="shared" si="0"/>
        <v>18</v>
      </c>
      <c r="F22">
        <f t="shared" si="1"/>
        <v>36.543009879514</v>
      </c>
      <c r="G22">
        <f>IF(E22&gt;=$B$7,$B$6,$B$5)</f>
        <v>2000</v>
      </c>
      <c r="H22">
        <f>$B$4*F22*(1-F22/G22)</f>
        <v>2.87002512751895</v>
      </c>
    </row>
    <row r="23" spans="5:8">
      <c r="E23">
        <f t="shared" si="0"/>
        <v>19</v>
      </c>
      <c r="F23">
        <f t="shared" si="1"/>
        <v>39.413035007033</v>
      </c>
      <c r="G23">
        <f>IF(E23&gt;=$B$7,$B$6,$B$5)</f>
        <v>2000</v>
      </c>
      <c r="H23">
        <f>$B$4*F23*(1-F23/G23)</f>
        <v>3.09090730742401</v>
      </c>
    </row>
    <row r="24" spans="5:8">
      <c r="E24">
        <f t="shared" si="0"/>
        <v>20</v>
      </c>
      <c r="F24">
        <f t="shared" si="1"/>
        <v>42.503942314457</v>
      </c>
      <c r="G24">
        <f>IF(E24&gt;=$B$7,$B$6,$B$5)</f>
        <v>2000</v>
      </c>
      <c r="H24">
        <f>$B$4*F24*(1-F24/G24)</f>
        <v>3.32805198066573</v>
      </c>
    </row>
    <row r="25" spans="5:8">
      <c r="E25">
        <f t="shared" si="0"/>
        <v>21</v>
      </c>
      <c r="F25">
        <f t="shared" si="1"/>
        <v>45.8319942951227</v>
      </c>
      <c r="G25">
        <f>IF(E25&gt;=$B$7,$B$6,$B$5)</f>
        <v>2000</v>
      </c>
      <c r="H25">
        <f>$B$4*F25*(1-F25/G25)</f>
        <v>3.58253667556709</v>
      </c>
    </row>
    <row r="26" spans="5:8">
      <c r="E26">
        <f t="shared" si="0"/>
        <v>22</v>
      </c>
      <c r="F26">
        <f t="shared" si="1"/>
        <v>49.4145309706898</v>
      </c>
      <c r="G26">
        <f>IF(E26&gt;=$B$7,$B$6,$B$5)</f>
        <v>2000</v>
      </c>
      <c r="H26">
        <f>$B$4*F26*(1-F26/G26)</f>
        <v>3.85549064281305</v>
      </c>
    </row>
    <row r="27" spans="5:8">
      <c r="E27">
        <f t="shared" si="0"/>
        <v>23</v>
      </c>
      <c r="F27">
        <f t="shared" si="1"/>
        <v>53.2700216135028</v>
      </c>
      <c r="G27">
        <f>IF(E27&gt;=$B$7,$B$6,$B$5)</f>
        <v>2000</v>
      </c>
      <c r="H27">
        <f>$B$4*F27*(1-F27/G27)</f>
        <v>4.1480939209721</v>
      </c>
    </row>
    <row r="28" spans="5:8">
      <c r="E28">
        <f t="shared" si="0"/>
        <v>24</v>
      </c>
      <c r="F28">
        <f t="shared" si="1"/>
        <v>57.4181155344749</v>
      </c>
      <c r="G28">
        <f>IF(E28&gt;=$B$7,$B$6,$B$5)</f>
        <v>2000</v>
      </c>
      <c r="H28">
        <f>$B$4*F28*(1-F28/G28)</f>
        <v>4.46157564309678</v>
      </c>
    </row>
    <row r="29" spans="5:8">
      <c r="E29">
        <f t="shared" si="0"/>
        <v>25</v>
      </c>
      <c r="F29">
        <f t="shared" si="1"/>
        <v>61.8796911775717</v>
      </c>
      <c r="G29">
        <f>IF(E29&gt;=$B$7,$B$6,$B$5)</f>
        <v>2000</v>
      </c>
      <c r="H29">
        <f>$B$4*F29*(1-F29/G29)</f>
        <v>4.79721144699647</v>
      </c>
    </row>
    <row r="30" spans="5:8">
      <c r="E30">
        <f t="shared" si="0"/>
        <v>26</v>
      </c>
      <c r="F30">
        <f t="shared" si="1"/>
        <v>66.6769026245682</v>
      </c>
      <c r="G30">
        <f>IF(E30&gt;=$B$7,$B$6,$B$5)</f>
        <v>2000</v>
      </c>
      <c r="H30">
        <f>$B$4*F30*(1-F30/G30)</f>
        <v>5.15631983622121</v>
      </c>
    </row>
    <row r="31" spans="5:8">
      <c r="E31">
        <f t="shared" si="0"/>
        <v>27</v>
      </c>
      <c r="F31">
        <f t="shared" si="1"/>
        <v>71.8332224607894</v>
      </c>
      <c r="G31">
        <f>IF(E31&gt;=$B$7,$B$6,$B$5)</f>
        <v>2000</v>
      </c>
      <c r="H31">
        <f>$B$4*F31*(1-F31/G31)</f>
        <v>5.5402573228991</v>
      </c>
    </row>
    <row r="32" spans="5:8">
      <c r="E32">
        <f t="shared" si="0"/>
        <v>28</v>
      </c>
      <c r="F32">
        <f t="shared" si="1"/>
        <v>77.3734797836885</v>
      </c>
      <c r="G32">
        <f>IF(E32&gt;=$B$7,$B$6,$B$5)</f>
        <v>2000</v>
      </c>
      <c r="H32">
        <f>$B$4*F32*(1-F32/G32)</f>
        <v>5.95041216774161</v>
      </c>
    </row>
    <row r="33" spans="5:8">
      <c r="E33">
        <f t="shared" si="0"/>
        <v>29</v>
      </c>
      <c r="F33">
        <f t="shared" si="1"/>
        <v>83.3238919514301</v>
      </c>
      <c r="G33">
        <f>IF(E33&gt;=$B$7,$B$6,$B$5)</f>
        <v>2000</v>
      </c>
      <c r="H33">
        <f>$B$4*F33*(1-F33/G33)</f>
        <v>6.38819651731707</v>
      </c>
    </row>
    <row r="34" spans="5:8">
      <c r="E34">
        <f t="shared" si="0"/>
        <v>30</v>
      </c>
      <c r="F34">
        <f t="shared" si="1"/>
        <v>89.7120884687472</v>
      </c>
      <c r="G34">
        <f>IF(E34&gt;=$B$7,$B$6,$B$5)</f>
        <v>2000</v>
      </c>
      <c r="H34">
        <f>$B$4*F34*(1-F34/G34)</f>
        <v>6.8550367248028</v>
      </c>
    </row>
    <row r="35" spans="5:8">
      <c r="E35">
        <f t="shared" si="0"/>
        <v>31</v>
      </c>
      <c r="F35">
        <f t="shared" si="1"/>
        <v>96.56712519355</v>
      </c>
      <c r="G35">
        <f>IF(E35&gt;=$B$7,$B$6,$B$5)</f>
        <v>2000</v>
      </c>
      <c r="H35">
        <f>$B$4*F35*(1-F35/G35)</f>
        <v>7.35236162875813</v>
      </c>
    </row>
    <row r="36" spans="5:8">
      <c r="E36">
        <f t="shared" si="0"/>
        <v>32</v>
      </c>
      <c r="F36">
        <f t="shared" si="1"/>
        <v>103.919486822308</v>
      </c>
      <c r="G36">
        <f>IF(E36&gt;=$B$7,$B$6,$B$5)</f>
        <v>2000</v>
      </c>
      <c r="H36">
        <f>$B$4*F36*(1-F36/G36)</f>
        <v>7.88158855612818</v>
      </c>
    </row>
    <row r="37" spans="5:8">
      <c r="E37">
        <f t="shared" si="0"/>
        <v>33</v>
      </c>
      <c r="F37">
        <f t="shared" si="1"/>
        <v>111.801075378436</v>
      </c>
      <c r="G37">
        <f>IF(E37&gt;=$B$7,$B$6,$B$5)</f>
        <v>2000</v>
      </c>
      <c r="H37">
        <f>$B$4*F37*(1-F37/G37)</f>
        <v>8.44410681204391</v>
      </c>
    </row>
    <row r="38" spans="5:8">
      <c r="E38">
        <f t="shared" si="0"/>
        <v>34</v>
      </c>
      <c r="F38">
        <f t="shared" si="1"/>
        <v>120.24518219048</v>
      </c>
      <c r="G38">
        <f>IF(E38&gt;=$B$7,$B$6,$B$5)</f>
        <v>2000</v>
      </c>
      <c r="H38">
        <f>$B$4*F38*(1-F38/G38)</f>
        <v>9.04125842163755</v>
      </c>
    </row>
    <row r="39" spans="5:8">
      <c r="E39">
        <f t="shared" si="0"/>
        <v>35</v>
      </c>
      <c r="F39">
        <f t="shared" si="1"/>
        <v>129.286440612118</v>
      </c>
      <c r="G39">
        <f>IF(E39&gt;=$B$7,$B$6,$B$5)</f>
        <v>2000</v>
      </c>
      <c r="H39">
        <f>$B$4*F39*(1-F39/G39)</f>
        <v>9.67431589992339</v>
      </c>
    </row>
    <row r="40" spans="5:8">
      <c r="E40">
        <f t="shared" si="0"/>
        <v>36</v>
      </c>
      <c r="F40">
        <f t="shared" si="1"/>
        <v>138.960756512041</v>
      </c>
      <c r="G40">
        <f>IF(E40&gt;=$B$7,$B$6,$B$5)</f>
        <v>2000</v>
      </c>
      <c r="H40">
        <f>$B$4*F40*(1-F40/G40)</f>
        <v>10.3444568469473</v>
      </c>
    </row>
    <row r="41" spans="5:8">
      <c r="E41">
        <f t="shared" si="0"/>
        <v>37</v>
      </c>
      <c r="F41">
        <f t="shared" si="1"/>
        <v>149.305213358988</v>
      </c>
      <c r="G41">
        <f>IF(E41&gt;=$B$7,$B$6,$B$5)</f>
        <v>2000</v>
      </c>
      <c r="H41">
        <f>$B$4*F41*(1-F41/G41)</f>
        <v>11.0527351992722</v>
      </c>
    </row>
    <row r="42" spans="5:8">
      <c r="E42">
        <f t="shared" si="0"/>
        <v>38</v>
      </c>
      <c r="F42">
        <f t="shared" si="1"/>
        <v>160.357948558261</v>
      </c>
      <c r="G42">
        <f>IF(E42&gt;=$B$7,$B$6,$B$5)</f>
        <v>2000</v>
      </c>
      <c r="H42">
        <f>$B$4*F42*(1-F42/G42)</f>
        <v>11.8000490180283</v>
      </c>
    </row>
    <row r="43" spans="5:8">
      <c r="E43">
        <f t="shared" si="0"/>
        <v>39</v>
      </c>
      <c r="F43">
        <f t="shared" si="1"/>
        <v>172.157997576289</v>
      </c>
      <c r="G43">
        <f>IF(E43&gt;=$B$7,$B$6,$B$5)</f>
        <v>2000</v>
      </c>
      <c r="H43">
        <f>$B$4*F43*(1-F43/G43)</f>
        <v>12.587104760924</v>
      </c>
    </row>
    <row r="44" spans="5:8">
      <c r="E44">
        <f t="shared" si="0"/>
        <v>40</v>
      </c>
      <c r="F44">
        <f t="shared" si="1"/>
        <v>184.745102337213</v>
      </c>
      <c r="G44">
        <f>IF(E44&gt;=$B$7,$B$6,$B$5)</f>
        <v>2000</v>
      </c>
      <c r="H44">
        <f>$B$4*F44*(1-F44/G44)</f>
        <v>13.4143780734735</v>
      </c>
    </row>
    <row r="45" spans="5:8">
      <c r="E45">
        <f t="shared" si="0"/>
        <v>41</v>
      </c>
      <c r="F45">
        <f t="shared" si="1"/>
        <v>198.159480410686</v>
      </c>
      <c r="G45">
        <f>IF(E45&gt;=$B$7,$B$6,$B$5)</f>
        <v>2000</v>
      </c>
      <c r="H45">
        <f>$B$4*F45*(1-F45/G45)</f>
        <v>14.2820712457896</v>
      </c>
    </row>
    <row r="46" spans="5:8">
      <c r="E46">
        <f t="shared" si="0"/>
        <v>42</v>
      </c>
      <c r="F46">
        <f t="shared" si="1"/>
        <v>212.441551656476</v>
      </c>
      <c r="G46">
        <f>IF(E46&gt;=$B$7,$B$6,$B$5)</f>
        <v>2000</v>
      </c>
      <c r="H46">
        <f>$B$4*F46*(1-F46/G46)</f>
        <v>15.1900676177096</v>
      </c>
    </row>
    <row r="47" spans="5:8">
      <c r="E47">
        <f t="shared" si="0"/>
        <v>43</v>
      </c>
      <c r="F47">
        <f t="shared" si="1"/>
        <v>227.631619274186</v>
      </c>
      <c r="G47">
        <f>IF(E47&gt;=$B$7,$B$6,$B$5)</f>
        <v>2000</v>
      </c>
      <c r="H47">
        <f>$B$4*F47*(1-F47/G47)</f>
        <v>16.1378833781993</v>
      </c>
    </row>
    <row r="48" spans="5:8">
      <c r="E48">
        <f t="shared" si="0"/>
        <v>44</v>
      </c>
      <c r="F48">
        <f t="shared" si="1"/>
        <v>243.769502652385</v>
      </c>
      <c r="G48">
        <f>IF(E48&gt;=$B$7,$B$6,$B$5)</f>
        <v>2000</v>
      </c>
      <c r="H48">
        <f>$B$4*F48*(1-F48/G48)</f>
        <v>17.1246173952552</v>
      </c>
    </row>
    <row r="49" spans="5:8">
      <c r="E49">
        <f t="shared" si="0"/>
        <v>45</v>
      </c>
      <c r="F49">
        <f t="shared" si="1"/>
        <v>260.89412004764</v>
      </c>
      <c r="G49">
        <f>IF(E49&gt;=$B$7,$B$6,$B$5)</f>
        <v>2000</v>
      </c>
      <c r="H49">
        <f>$B$4*F49*(1-F49/G49)</f>
        <v>18.1488999287939</v>
      </c>
    </row>
    <row r="50" spans="5:8">
      <c r="E50">
        <f t="shared" si="0"/>
        <v>46</v>
      </c>
      <c r="F50">
        <f t="shared" si="1"/>
        <v>279.043019976434</v>
      </c>
      <c r="G50">
        <f>IF(E50&gt;=$B$7,$B$6,$B$5)</f>
        <v>2000</v>
      </c>
      <c r="H50">
        <f>$B$4*F50*(1-F50/G50)</f>
        <v>19.208841318212</v>
      </c>
    </row>
    <row r="51" spans="5:8">
      <c r="E51">
        <f t="shared" si="0"/>
        <v>47</v>
      </c>
      <c r="F51">
        <f t="shared" si="1"/>
        <v>298.251861294646</v>
      </c>
      <c r="G51">
        <f>IF(E51&gt;=$B$7,$B$6,$B$5)</f>
        <v>2000</v>
      </c>
      <c r="H51">
        <f>$B$4*F51*(1-F51/G51)</f>
        <v>20.3019819929429</v>
      </c>
    </row>
    <row r="52" spans="5:8">
      <c r="E52">
        <f t="shared" si="0"/>
        <v>48</v>
      </c>
      <c r="F52">
        <f t="shared" si="1"/>
        <v>318.553843287589</v>
      </c>
      <c r="G52">
        <f>IF(E52&gt;=$B$7,$B$6,$B$5)</f>
        <v>2000</v>
      </c>
      <c r="H52">
        <f>$B$4*F52*(1-F52/G52)</f>
        <v>21.4252454200754</v>
      </c>
    </row>
    <row r="53" spans="5:8">
      <c r="E53">
        <f t="shared" si="0"/>
        <v>49</v>
      </c>
      <c r="F53">
        <f t="shared" si="1"/>
        <v>339.979088707664</v>
      </c>
      <c r="G53">
        <f>IF(E53&gt;=$B$7,$B$6,$B$5)</f>
        <v>2000</v>
      </c>
      <c r="H53">
        <f>$B$4*F53*(1-F53/G53)</f>
        <v>22.5748958662734</v>
      </c>
    </row>
    <row r="54" spans="5:8">
      <c r="E54">
        <f t="shared" si="0"/>
        <v>50</v>
      </c>
      <c r="F54">
        <f t="shared" si="1"/>
        <v>362.553984573938</v>
      </c>
      <c r="G54">
        <f>IF(E54&gt;=$B$7,$B$6,$B$5)</f>
        <v>2000</v>
      </c>
      <c r="H54">
        <f>$B$4*F54*(1-F54/G54)</f>
        <v>23.7465030966975</v>
      </c>
    </row>
    <row r="55" spans="5:8">
      <c r="E55">
        <f t="shared" si="0"/>
        <v>51</v>
      </c>
      <c r="F55">
        <f t="shared" si="1"/>
        <v>386.300487670635</v>
      </c>
      <c r="G55">
        <f>IF(E55&gt;=$B$7,$B$6,$B$5)</f>
        <v>2000</v>
      </c>
      <c r="H55">
        <f>$B$4*F55*(1-F55/G55)</f>
        <v>24.934916342668</v>
      </c>
    </row>
    <row r="56" spans="5:8">
      <c r="E56">
        <f t="shared" si="0"/>
        <v>52</v>
      </c>
      <c r="F56">
        <f t="shared" si="1"/>
        <v>411.235404013303</v>
      </c>
      <c r="G56">
        <f>IF(E56&gt;=$B$7,$B$6,$B$5)</f>
        <v>2000</v>
      </c>
      <c r="H56">
        <f>$B$4*F56*(1-F56/G56)</f>
        <v>26.1342500205049</v>
      </c>
    </row>
    <row r="57" spans="5:8">
      <c r="E57">
        <f t="shared" si="0"/>
        <v>53</v>
      </c>
      <c r="F57">
        <f t="shared" si="1"/>
        <v>437.369654033808</v>
      </c>
      <c r="G57">
        <f>IF(E57&gt;=$B$7,$B$6,$B$5)</f>
        <v>2000</v>
      </c>
      <c r="H57">
        <f>$B$4*F57*(1-F57/G57)</f>
        <v>27.3378837519185</v>
      </c>
    </row>
    <row r="58" spans="5:8">
      <c r="E58">
        <f t="shared" si="0"/>
        <v>54</v>
      </c>
      <c r="F58">
        <f t="shared" si="1"/>
        <v>464.707537785726</v>
      </c>
      <c r="G58">
        <f>IF(E58&gt;=$B$7,$B$6,$B$5)</f>
        <v>2000</v>
      </c>
      <c r="H58">
        <f>$B$4*F58*(1-F58/G58)</f>
        <v>28.5384791958632</v>
      </c>
    </row>
    <row r="59" spans="5:8">
      <c r="E59">
        <f t="shared" si="0"/>
        <v>55</v>
      </c>
      <c r="F59">
        <f t="shared" si="1"/>
        <v>493.24601698159</v>
      </c>
      <c r="G59">
        <f>IF(E59&gt;=$B$7,$B$6,$B$5)</f>
        <v>2000</v>
      </c>
      <c r="H59">
        <f>$B$4*F59*(1-F59/G59)</f>
        <v>29.7280160277991</v>
      </c>
    </row>
    <row r="60" spans="5:8">
      <c r="E60">
        <f t="shared" si="0"/>
        <v>56</v>
      </c>
      <c r="F60">
        <f t="shared" si="1"/>
        <v>522.974033009389</v>
      </c>
      <c r="G60">
        <f>IF(E60&gt;=$B$7,$B$6,$B$5)</f>
        <v>2000</v>
      </c>
      <c r="H60">
        <f>$B$4*F60*(1-F60/G60)</f>
        <v>30.8978490726669</v>
      </c>
    </row>
    <row r="61" spans="5:8">
      <c r="E61">
        <f t="shared" si="0"/>
        <v>57</v>
      </c>
      <c r="F61">
        <f t="shared" si="1"/>
        <v>553.871882082056</v>
      </c>
      <c r="G61">
        <f>IF(E61&gt;=$B$7,$B$6,$B$5)</f>
        <v>2000</v>
      </c>
      <c r="H61">
        <f>$B$4*F61*(1-F61/G61)</f>
        <v>32.0387880961197</v>
      </c>
    </row>
    <row r="62" spans="5:8">
      <c r="E62">
        <f t="shared" si="0"/>
        <v>58</v>
      </c>
      <c r="F62">
        <f t="shared" si="1"/>
        <v>585.910670178175</v>
      </c>
      <c r="G62">
        <f>IF(E62&gt;=$B$7,$B$6,$B$5)</f>
        <v>2000</v>
      </c>
      <c r="H62">
        <f>$B$4*F62*(1-F62/G62)</f>
        <v>33.1412010771085</v>
      </c>
    </row>
    <row r="63" spans="5:8">
      <c r="E63">
        <f t="shared" si="0"/>
        <v>59</v>
      </c>
      <c r="F63">
        <f t="shared" si="1"/>
        <v>619.051871255284</v>
      </c>
      <c r="G63">
        <f>IF(E63&gt;=$B$7,$B$6,$B$5)</f>
        <v>2000</v>
      </c>
      <c r="H63">
        <f>$B$4*F63*(1-F63/G63)</f>
        <v>34.195140928236</v>
      </c>
    </row>
    <row r="64" spans="5:8">
      <c r="E64">
        <f t="shared" si="0"/>
        <v>60</v>
      </c>
      <c r="F64">
        <f t="shared" si="1"/>
        <v>653.24701218352</v>
      </c>
      <c r="G64">
        <f>IF(E64&gt;=$B$7,$B$6,$B$5)</f>
        <v>2000</v>
      </c>
      <c r="H64">
        <f>$B$4*F64*(1-F64/G64)</f>
        <v>35.1904946176138</v>
      </c>
    </row>
    <row r="65" spans="5:8">
      <c r="E65">
        <f t="shared" si="0"/>
        <v>61</v>
      </c>
      <c r="F65">
        <f t="shared" si="1"/>
        <v>688.437506801134</v>
      </c>
      <c r="G65">
        <f>IF(E65&gt;=$B$7,$B$6,$B$5)</f>
        <v>2000</v>
      </c>
      <c r="H65">
        <f>$B$4*F65*(1-F65/G65)</f>
        <v>36.1171525132683</v>
      </c>
    </row>
    <row r="66" spans="5:8">
      <c r="E66">
        <f t="shared" si="0"/>
        <v>62</v>
      </c>
      <c r="F66">
        <f t="shared" si="1"/>
        <v>724.554659314402</v>
      </c>
      <c r="G66">
        <f>IF(E66&gt;=$B$7,$B$6,$B$5)</f>
        <v>2000</v>
      </c>
      <c r="H66">
        <f>$B$4*F66*(1-F66/G66)</f>
        <v>36.9651945717838</v>
      </c>
    </row>
    <row r="67" spans="5:8">
      <c r="E67">
        <f t="shared" si="0"/>
        <v>63</v>
      </c>
      <c r="F67">
        <f t="shared" si="1"/>
        <v>761.519853886186</v>
      </c>
      <c r="G67">
        <f>IF(E67&gt;=$B$7,$B$6,$B$5)</f>
        <v>2000</v>
      </c>
      <c r="H67">
        <f>$B$4*F67*(1-F67/G67)</f>
        <v>37.7250887963813</v>
      </c>
    </row>
    <row r="68" spans="5:8">
      <c r="E68">
        <f t="shared" si="0"/>
        <v>64</v>
      </c>
      <c r="F68">
        <f t="shared" si="1"/>
        <v>799.244942682567</v>
      </c>
      <c r="G68">
        <f>IF(E68&gt;=$B$7,$B$6,$B$5)</f>
        <v>2000</v>
      </c>
      <c r="H68">
        <f>$B$4*F68*(1-F68/G68)</f>
        <v>38.387896278459</v>
      </c>
    </row>
    <row r="69" spans="5:8">
      <c r="E69">
        <f t="shared" ref="E69:E132" si="2">E68+1</f>
        <v>65</v>
      </c>
      <c r="F69">
        <f t="shared" ref="F69:F132" si="3">F68+H68</f>
        <v>837.632838961026</v>
      </c>
      <c r="G69">
        <f>IF(E69&gt;=$B$7,$B$6,$B$5)</f>
        <v>2000</v>
      </c>
      <c r="H69">
        <f>$B$4*F69*(1-F69/G69)</f>
        <v>38.9454762006458</v>
      </c>
    </row>
    <row r="70" spans="5:8">
      <c r="E70">
        <f t="shared" si="2"/>
        <v>66</v>
      </c>
      <c r="F70">
        <f t="shared" si="3"/>
        <v>876.578315161672</v>
      </c>
      <c r="G70">
        <f>IF(E70&gt;=$B$7,$B$6,$B$5)</f>
        <v>2000</v>
      </c>
      <c r="H70">
        <f>$B$4*F70*(1-F70/G70)</f>
        <v>39.3906835084667</v>
      </c>
    </row>
    <row r="71" spans="5:8">
      <c r="E71">
        <f t="shared" si="2"/>
        <v>67</v>
      </c>
      <c r="F71">
        <f t="shared" si="3"/>
        <v>915.968998670138</v>
      </c>
      <c r="G71">
        <f>IF(E71&gt;=$B$7,$B$6,$B$5)</f>
        <v>2000</v>
      </c>
      <c r="H71">
        <f>$B$4*F71*(1-F71/G71)</f>
        <v>39.71755163262</v>
      </c>
    </row>
    <row r="72" spans="5:8">
      <c r="E72">
        <f t="shared" si="2"/>
        <v>68</v>
      </c>
      <c r="F72">
        <f t="shared" si="3"/>
        <v>955.686550302758</v>
      </c>
      <c r="G72">
        <f>IF(E72&gt;=$B$7,$B$6,$B$5)</f>
        <v>2000</v>
      </c>
      <c r="H72">
        <f>$B$4*F72*(1-F72/G72)</f>
        <v>39.9214527270372</v>
      </c>
    </row>
    <row r="73" spans="5:8">
      <c r="E73">
        <f t="shared" si="2"/>
        <v>69</v>
      </c>
      <c r="F73">
        <f t="shared" si="3"/>
        <v>995.608003029795</v>
      </c>
      <c r="G73">
        <f>IF(E73&gt;=$B$7,$B$6,$B$5)</f>
        <v>2000</v>
      </c>
      <c r="H73">
        <f>$B$4*F73*(1-F73/G73)</f>
        <v>39.9992284145046</v>
      </c>
    </row>
    <row r="74" spans="5:8">
      <c r="E74">
        <f t="shared" si="2"/>
        <v>70</v>
      </c>
      <c r="F74">
        <f t="shared" si="3"/>
        <v>1035.6072314443</v>
      </c>
      <c r="G74">
        <f>IF(E74&gt;=$B$7,$B$6,$B$5)</f>
        <v>2000</v>
      </c>
      <c r="H74">
        <f>$B$4*F74*(1-F74/G74)</f>
        <v>39.9492850027549</v>
      </c>
    </row>
    <row r="75" spans="5:8">
      <c r="E75">
        <f t="shared" si="2"/>
        <v>71</v>
      </c>
      <c r="F75">
        <f t="shared" si="3"/>
        <v>1075.55651644705</v>
      </c>
      <c r="G75">
        <f>IF(E75&gt;=$B$7,$B$6,$B$5)</f>
        <v>2000</v>
      </c>
      <c r="H75">
        <f>$B$4*F75*(1-F75/G75)</f>
        <v>39.7716485128954</v>
      </c>
    </row>
    <row r="76" spans="5:8">
      <c r="E76">
        <f t="shared" si="2"/>
        <v>72</v>
      </c>
      <c r="F76">
        <f t="shared" si="3"/>
        <v>1115.32816495995</v>
      </c>
      <c r="G76">
        <f>IF(E76&gt;=$B$7,$B$6,$B$5)</f>
        <v>2000</v>
      </c>
      <c r="H76">
        <f>$B$4*F76*(1-F76/G76)</f>
        <v>39.4679765746788</v>
      </c>
    </row>
    <row r="77" spans="5:8">
      <c r="E77">
        <f t="shared" si="2"/>
        <v>73</v>
      </c>
      <c r="F77">
        <f t="shared" si="3"/>
        <v>1154.79614153463</v>
      </c>
      <c r="G77">
        <f>IF(E77&gt;=$B$7,$B$6,$B$5)</f>
        <v>2000</v>
      </c>
      <c r="H77">
        <f>$B$4*F77*(1-F77/G77)</f>
        <v>39.0415261826396</v>
      </c>
    </row>
    <row r="78" spans="5:8">
      <c r="E78">
        <f t="shared" si="2"/>
        <v>74</v>
      </c>
      <c r="F78">
        <f t="shared" si="3"/>
        <v>1193.83766771727</v>
      </c>
      <c r="G78">
        <f>IF(E78&gt;=$B$7,$B$6,$B$5)</f>
        <v>2000</v>
      </c>
      <c r="H78">
        <f>$B$4*F78*(1-F78/G78)</f>
        <v>38.4970783429572</v>
      </c>
    </row>
    <row r="79" spans="5:8">
      <c r="E79">
        <f t="shared" si="2"/>
        <v>75</v>
      </c>
      <c r="F79">
        <f t="shared" si="3"/>
        <v>1232.33474606023</v>
      </c>
      <c r="G79">
        <f>IF(E79&gt;=$B$7,$B$6,$B$5)</f>
        <v>2000</v>
      </c>
      <c r="H79">
        <f>$B$4*F79*(1-F79/G79)</f>
        <v>37.8408226309252</v>
      </c>
    </row>
    <row r="80" spans="5:8">
      <c r="E80">
        <f t="shared" si="2"/>
        <v>76</v>
      </c>
      <c r="F80">
        <f t="shared" si="3"/>
        <v>1270.17556869115</v>
      </c>
      <c r="G80">
        <f>IF(E80&gt;=$B$7,$B$6,$B$5)</f>
        <v>2000</v>
      </c>
      <c r="H80">
        <f>$B$4*F80*(1-F80/G80)</f>
        <v>37.0802064832965</v>
      </c>
    </row>
    <row r="81" spans="5:8">
      <c r="E81">
        <f t="shared" si="2"/>
        <v>77</v>
      </c>
      <c r="F81">
        <f t="shared" si="3"/>
        <v>1307.25577517445</v>
      </c>
      <c r="G81">
        <f>IF(E81&gt;=$B$7,$B$6,$B$5)</f>
        <v>2000</v>
      </c>
      <c r="H81">
        <f>$B$4*F81*(1-F81/G81)</f>
        <v>36.223755544878</v>
      </c>
    </row>
    <row r="82" spans="5:8">
      <c r="E82">
        <f t="shared" si="2"/>
        <v>78</v>
      </c>
      <c r="F82">
        <f t="shared" si="3"/>
        <v>1343.47953071933</v>
      </c>
      <c r="G82">
        <f>IF(E82&gt;=$B$7,$B$6,$B$5)</f>
        <v>2000</v>
      </c>
      <c r="H82">
        <f>$B$4*F82*(1-F82/G82)</f>
        <v>35.2808724790733</v>
      </c>
    </row>
    <row r="83" spans="5:8">
      <c r="E83">
        <f t="shared" si="2"/>
        <v>79</v>
      </c>
      <c r="F83">
        <f t="shared" si="3"/>
        <v>1378.7604031984</v>
      </c>
      <c r="G83">
        <f>IF(E83&gt;=$B$7,$B$6,$B$5)</f>
        <v>2000</v>
      </c>
      <c r="H83">
        <f>$B$4*F83*(1-F83/G83)</f>
        <v>34.2616222787595</v>
      </c>
    </row>
    <row r="84" spans="5:8">
      <c r="E84">
        <f t="shared" si="2"/>
        <v>80</v>
      </c>
      <c r="F84">
        <f t="shared" si="3"/>
        <v>1413.02202547716</v>
      </c>
      <c r="G84">
        <f>IF(E84&gt;=$B$7,$B$6,$B$5)</f>
        <v>2000</v>
      </c>
      <c r="H84">
        <f>$B$4*F84*(1-F84/G84)</f>
        <v>33.1765122588298</v>
      </c>
    </row>
    <row r="85" spans="5:8">
      <c r="E85">
        <f t="shared" si="2"/>
        <v>81</v>
      </c>
      <c r="F85">
        <f t="shared" si="3"/>
        <v>1446.19853773599</v>
      </c>
      <c r="G85">
        <f>IF(E85&gt;=$B$7,$B$6,$B$5)</f>
        <v>2000</v>
      </c>
      <c r="H85">
        <f>$B$4*F85*(1-F85/G85)</f>
        <v>32.0362745968906</v>
      </c>
    </row>
    <row r="86" spans="5:8">
      <c r="E86">
        <f t="shared" si="2"/>
        <v>82</v>
      </c>
      <c r="F86">
        <f t="shared" si="3"/>
        <v>1478.23481233288</v>
      </c>
      <c r="G86">
        <f>IF(E86&gt;=$B$7,$B$6,$B$5)</f>
        <v>2000</v>
      </c>
      <c r="H86">
        <f>$B$4*F86*(1-F86/G86)</f>
        <v>30.8516585709174</v>
      </c>
    </row>
    <row r="87" spans="5:8">
      <c r="E87">
        <f t="shared" si="2"/>
        <v>83</v>
      </c>
      <c r="F87">
        <f t="shared" si="3"/>
        <v>1509.0864709038</v>
      </c>
      <c r="G87">
        <f>IF(E87&gt;=$B$7,$B$6,$B$5)</f>
        <v>2000</v>
      </c>
      <c r="H87">
        <f>$B$4*F87*(1-F87/G87)</f>
        <v>29.6332386057087</v>
      </c>
    </row>
    <row r="88" spans="5:8">
      <c r="E88">
        <f t="shared" si="2"/>
        <v>84</v>
      </c>
      <c r="F88">
        <f t="shared" si="3"/>
        <v>1538.71970950951</v>
      </c>
      <c r="G88">
        <f>IF(E88&gt;=$B$7,$B$6,$B$5)</f>
        <v>2000</v>
      </c>
      <c r="H88">
        <f>$B$4*F88*(1-F88/G88)</f>
        <v>28.3912429834398</v>
      </c>
    </row>
    <row r="89" spans="5:8">
      <c r="E89">
        <f t="shared" si="2"/>
        <v>85</v>
      </c>
      <c r="F89">
        <f t="shared" si="3"/>
        <v>1567.11095249294</v>
      </c>
      <c r="G89">
        <f>IF(E89&gt;=$B$7,$B$6,$B$5)</f>
        <v>2000</v>
      </c>
      <c r="H89">
        <f>$B$4*F89*(1-F89/G89)</f>
        <v>27.1354067025018</v>
      </c>
    </row>
    <row r="90" spans="5:8">
      <c r="E90">
        <f t="shared" si="2"/>
        <v>86</v>
      </c>
      <c r="F90">
        <f t="shared" si="3"/>
        <v>1594.24635919545</v>
      </c>
      <c r="G90">
        <f>IF(E90&gt;=$B$7,$B$6,$B$5)</f>
        <v>2000</v>
      </c>
      <c r="H90">
        <f>$B$4*F90*(1-F90/G90)</f>
        <v>25.8748505833183</v>
      </c>
    </row>
    <row r="91" spans="5:8">
      <c r="E91">
        <f t="shared" si="2"/>
        <v>87</v>
      </c>
      <c r="F91">
        <f t="shared" si="3"/>
        <v>1620.12120977876</v>
      </c>
      <c r="G91">
        <f>IF(E91&gt;=$B$7,$B$6,$B$5)</f>
        <v>2000</v>
      </c>
      <c r="H91">
        <f>$B$4*F91*(1-F91/G91)</f>
        <v>24.6179874073008</v>
      </c>
    </row>
    <row r="92" spans="5:8">
      <c r="E92">
        <f t="shared" si="2"/>
        <v>88</v>
      </c>
      <c r="F92">
        <f t="shared" si="3"/>
        <v>1644.73919718607</v>
      </c>
      <c r="G92">
        <f>IF(E92&gt;=$B$7,$B$6,$B$5)</f>
        <v>2000</v>
      </c>
      <c r="H92">
        <f>$B$4*F92*(1-F92/G92)</f>
        <v>23.3724547044747</v>
      </c>
    </row>
    <row r="93" spans="5:8">
      <c r="E93">
        <f t="shared" si="2"/>
        <v>89</v>
      </c>
      <c r="F93">
        <f t="shared" si="3"/>
        <v>1668.11165189054</v>
      </c>
      <c r="G93">
        <f>IF(E93&gt;=$B$7,$B$6,$B$5)</f>
        <v>2000</v>
      </c>
      <c r="H93">
        <f>$B$4*F93*(1-F93/G93)</f>
        <v>22.1450728243237</v>
      </c>
    </row>
    <row r="94" spans="5:8">
      <c r="E94">
        <f t="shared" si="2"/>
        <v>90</v>
      </c>
      <c r="F94">
        <f t="shared" si="3"/>
        <v>1690.25672471486</v>
      </c>
      <c r="G94">
        <f>IF(E94&gt;=$B$7,$B$6,$B$5)</f>
        <v>2000</v>
      </c>
      <c r="H94">
        <f>$B$4*F94*(1-F94/G94)</f>
        <v>20.9418261594363</v>
      </c>
    </row>
    <row r="95" spans="5:8">
      <c r="E95">
        <f t="shared" si="2"/>
        <v>91</v>
      </c>
      <c r="F95">
        <f t="shared" si="3"/>
        <v>1711.1985508743</v>
      </c>
      <c r="G95">
        <f>IF(E95&gt;=$B$7,$B$6,$B$5)</f>
        <v>2000</v>
      </c>
      <c r="H95">
        <f>$B$4*F95*(1-F95/G95)</f>
        <v>19.7678648493718</v>
      </c>
    </row>
    <row r="96" spans="5:8">
      <c r="E96">
        <f t="shared" si="2"/>
        <v>92</v>
      </c>
      <c r="F96">
        <f t="shared" si="3"/>
        <v>1730.96641572367</v>
      </c>
      <c r="G96">
        <f>IF(E96&gt;=$B$7,$B$6,$B$5)</f>
        <v>2000</v>
      </c>
      <c r="H96">
        <f>$B$4*F96*(1-F96/G96)</f>
        <v>18.6275239633635</v>
      </c>
    </row>
    <row r="97" spans="5:8">
      <c r="E97">
        <f t="shared" si="2"/>
        <v>93</v>
      </c>
      <c r="F97">
        <f t="shared" si="3"/>
        <v>1749.59393968704</v>
      </c>
      <c r="G97">
        <f>IF(E97&gt;=$B$7,$B$6,$B$5)</f>
        <v>2000</v>
      </c>
      <c r="H97">
        <f>$B$4*F97*(1-F97/G97)</f>
        <v>17.5243570233788</v>
      </c>
    </row>
    <row r="98" spans="5:8">
      <c r="E98">
        <f t="shared" si="2"/>
        <v>94</v>
      </c>
      <c r="F98">
        <f t="shared" si="3"/>
        <v>1767.11829671041</v>
      </c>
      <c r="G98">
        <f>IF(E98&gt;=$B$7,$B$6,$B$5)</f>
        <v>2000</v>
      </c>
      <c r="H98">
        <f>$B$4*F98*(1-F98/G98)</f>
        <v>16.4611807540845</v>
      </c>
    </row>
    <row r="99" spans="5:8">
      <c r="E99">
        <f t="shared" si="2"/>
        <v>95</v>
      </c>
      <c r="F99">
        <f t="shared" si="3"/>
        <v>1783.5794774645</v>
      </c>
      <c r="G99">
        <f>IF(E99&gt;=$B$7,$B$6,$B$5)</f>
        <v>2000</v>
      </c>
      <c r="H99">
        <f>$B$4*F99*(1-F99/G99)</f>
        <v>15.4401280998585</v>
      </c>
    </row>
    <row r="100" spans="5:8">
      <c r="E100">
        <f t="shared" si="2"/>
        <v>96</v>
      </c>
      <c r="F100">
        <f t="shared" si="3"/>
        <v>1799.01960556436</v>
      </c>
      <c r="G100">
        <f>IF(E100&gt;=$B$7,$B$6,$B$5)</f>
        <v>2000</v>
      </c>
      <c r="H100">
        <f>$B$4*F100*(1-F100/G100)</f>
        <v>14.4627067969511</v>
      </c>
    </row>
    <row r="101" spans="5:8">
      <c r="E101">
        <f t="shared" si="2"/>
        <v>97</v>
      </c>
      <c r="F101">
        <f t="shared" si="3"/>
        <v>1813.48231236131</v>
      </c>
      <c r="G101">
        <f>IF(E101&gt;=$B$7,$B$6,$B$5)</f>
        <v>2000</v>
      </c>
      <c r="H101">
        <f>$B$4*F101*(1-F101/G101)</f>
        <v>13.5298610990119</v>
      </c>
    </row>
    <row r="102" spans="5:8">
      <c r="E102">
        <f t="shared" si="2"/>
        <v>98</v>
      </c>
      <c r="F102">
        <f t="shared" si="3"/>
        <v>1827.01217346032</v>
      </c>
      <c r="G102">
        <f>IF(E102&gt;=$B$7,$B$6,$B$5)</f>
        <v>2000</v>
      </c>
      <c r="H102">
        <f>$B$4*F102*(1-F102/G102)</f>
        <v>12.6420345979375</v>
      </c>
    </row>
    <row r="103" spans="5:8">
      <c r="E103">
        <f t="shared" si="2"/>
        <v>99</v>
      </c>
      <c r="F103">
        <f t="shared" si="3"/>
        <v>1839.65420805826</v>
      </c>
      <c r="G103">
        <f>IF(E103&gt;=$B$7,$B$6,$B$5)</f>
        <v>2000</v>
      </c>
      <c r="H103">
        <f>$B$4*F103*(1-F103/G103)</f>
        <v>11.7992324356024</v>
      </c>
    </row>
    <row r="104" spans="5:8">
      <c r="E104">
        <f t="shared" si="2"/>
        <v>100</v>
      </c>
      <c r="F104">
        <f t="shared" si="3"/>
        <v>1851.45344049386</v>
      </c>
      <c r="G104">
        <f>IF(E104&gt;=$B$7,$B$6,$B$5)</f>
        <v>2000</v>
      </c>
      <c r="H104">
        <f>$B$4*F104*(1-F104/G104)</f>
        <v>11.0010815468467</v>
      </c>
    </row>
    <row r="105" spans="5:8">
      <c r="E105">
        <f t="shared" si="2"/>
        <v>101</v>
      </c>
      <c r="F105">
        <f t="shared" si="3"/>
        <v>1862.45452204071</v>
      </c>
      <c r="G105">
        <f>IF(E105&gt;=$B$7,$B$6,$B$5)</f>
        <v>2000</v>
      </c>
      <c r="H105">
        <f>$B$4*F105*(1-F105/G105)</f>
        <v>10.2468878964614</v>
      </c>
    </row>
    <row r="106" spans="5:8">
      <c r="E106">
        <f t="shared" si="2"/>
        <v>102</v>
      </c>
      <c r="F106">
        <f t="shared" si="3"/>
        <v>1872.70140993717</v>
      </c>
      <c r="G106">
        <f>IF(E106&gt;=$B$7,$B$6,$B$5)</f>
        <v>2000</v>
      </c>
      <c r="H106">
        <f>$B$4*F106*(1-F106/G106)</f>
        <v>9.53568996374712</v>
      </c>
    </row>
    <row r="107" spans="5:8">
      <c r="E107">
        <f t="shared" si="2"/>
        <v>103</v>
      </c>
      <c r="F107">
        <f t="shared" si="3"/>
        <v>1882.23709990092</v>
      </c>
      <c r="G107">
        <f>IF(E107&gt;=$B$7,$B$6,$B$5)</f>
        <v>2000</v>
      </c>
      <c r="H107">
        <f>$B$4*F107*(1-F107/G107)</f>
        <v>8.86630798233687</v>
      </c>
    </row>
    <row r="108" spans="5:8">
      <c r="E108">
        <f t="shared" si="2"/>
        <v>104</v>
      </c>
      <c r="F108">
        <f t="shared" si="3"/>
        <v>1891.10340788325</v>
      </c>
      <c r="G108">
        <f>IF(E108&gt;=$B$7,$B$6,$B$5)</f>
        <v>2000</v>
      </c>
      <c r="H108">
        <f>$B$4*F108*(1-F108/G108)</f>
        <v>8.23738865835415</v>
      </c>
    </row>
    <row r="109" spans="5:8">
      <c r="E109">
        <f t="shared" si="2"/>
        <v>105</v>
      </c>
      <c r="F109">
        <f t="shared" si="3"/>
        <v>1899.34079654161</v>
      </c>
      <c r="G109">
        <f>IF(E109&gt;=$B$7,$B$6,$B$5)</f>
        <v>2000</v>
      </c>
      <c r="H109">
        <f>$B$4*F109*(1-F109/G109)</f>
        <v>7.64744526703635</v>
      </c>
    </row>
    <row r="110" spans="5:8">
      <c r="E110">
        <f t="shared" si="2"/>
        <v>106</v>
      </c>
      <c r="F110">
        <f t="shared" si="3"/>
        <v>1906.98824180864</v>
      </c>
      <c r="G110">
        <f>IF(E110&gt;=$B$7,$B$6,$B$5)</f>
        <v>2000</v>
      </c>
      <c r="H110">
        <f>$B$4*F110*(1-F110/G110)</f>
        <v>7.09489316883468</v>
      </c>
    </row>
    <row r="111" spans="5:8">
      <c r="E111">
        <f t="shared" si="2"/>
        <v>107</v>
      </c>
      <c r="F111">
        <f t="shared" si="3"/>
        <v>1914.08313497748</v>
      </c>
      <c r="G111">
        <f>IF(E111&gt;=$B$7,$B$6,$B$5)</f>
        <v>2000</v>
      </c>
      <c r="H111">
        <f>$B$4*F111*(1-F111/G111)</f>
        <v>6.57808089398986</v>
      </c>
    </row>
    <row r="112" spans="5:8">
      <c r="E112">
        <f t="shared" si="2"/>
        <v>108</v>
      </c>
      <c r="F112">
        <f t="shared" si="3"/>
        <v>1920.66121587147</v>
      </c>
      <c r="G112">
        <f>IF(E112&gt;=$B$7,$B$6,$B$5)</f>
        <v>2000</v>
      </c>
      <c r="H112">
        <f>$B$4*F112*(1-F112/G112)</f>
        <v>6.09531702360284</v>
      </c>
    </row>
    <row r="113" spans="5:8">
      <c r="E113">
        <f t="shared" si="2"/>
        <v>109</v>
      </c>
      <c r="F113">
        <f t="shared" si="3"/>
        <v>1926.75653289507</v>
      </c>
      <c r="G113">
        <f>IF(E113&gt;=$B$7,$B$6,$B$5)</f>
        <v>2000</v>
      </c>
      <c r="H113">
        <f>$B$4*F113*(1-F113/G113)</f>
        <v>5.64489314945235</v>
      </c>
    </row>
    <row r="114" spans="5:8">
      <c r="E114">
        <f t="shared" si="2"/>
        <v>110</v>
      </c>
      <c r="F114">
        <f t="shared" si="3"/>
        <v>1932.40142604452</v>
      </c>
      <c r="G114">
        <f>IF(E114&gt;=$B$7,$B$6,$B$5)</f>
        <v>2000</v>
      </c>
      <c r="H114">
        <f>$B$4*F114*(1-F114/G114)</f>
        <v>5.22510322840563</v>
      </c>
    </row>
    <row r="115" spans="5:8">
      <c r="E115">
        <f t="shared" si="2"/>
        <v>111</v>
      </c>
      <c r="F115">
        <f t="shared" si="3"/>
        <v>1937.62652927293</v>
      </c>
      <c r="G115">
        <f>IF(E115&gt;=$B$7,$B$6,$B$5)</f>
        <v>2000</v>
      </c>
      <c r="H115">
        <f>$B$4*F115*(1-F115/G115)</f>
        <v>4.83425966414409</v>
      </c>
    </row>
    <row r="116" spans="5:8">
      <c r="E116">
        <f t="shared" si="2"/>
        <v>112</v>
      </c>
      <c r="F116">
        <f t="shared" si="3"/>
        <v>1942.46078893707</v>
      </c>
      <c r="G116">
        <f>IF(E116&gt;=$B$7,$B$6,$B$5)</f>
        <v>2000</v>
      </c>
      <c r="H116">
        <f>$B$4*F116*(1-F116/G116)</f>
        <v>4.47070645264444</v>
      </c>
    </row>
    <row r="117" spans="5:8">
      <c r="E117">
        <f t="shared" si="2"/>
        <v>113</v>
      </c>
      <c r="F117">
        <f t="shared" si="3"/>
        <v>1946.93149538972</v>
      </c>
      <c r="G117">
        <f>IF(E117&gt;=$B$7,$B$6,$B$5)</f>
        <v>2000</v>
      </c>
      <c r="H117">
        <f>$B$4*F117*(1-F117/G117)</f>
        <v>4.13282972155977</v>
      </c>
    </row>
    <row r="118" spans="5:8">
      <c r="E118">
        <f t="shared" si="2"/>
        <v>114</v>
      </c>
      <c r="F118">
        <f t="shared" si="3"/>
        <v>1951.06432511128</v>
      </c>
      <c r="G118">
        <f>IF(E118&gt;=$B$7,$B$6,$B$5)</f>
        <v>2000</v>
      </c>
      <c r="H118">
        <f>$B$4*F118*(1-F118/G118)</f>
        <v>3.81906598002527</v>
      </c>
    </row>
    <row r="119" spans="5:8">
      <c r="E119">
        <f t="shared" si="2"/>
        <v>115</v>
      </c>
      <c r="F119">
        <f t="shared" si="3"/>
        <v>1954.8833910913</v>
      </c>
      <c r="G119">
        <f>IF(E119&gt;=$B$7,$B$6,$B$5)</f>
        <v>2000</v>
      </c>
      <c r="H119">
        <f>$B$4*F119*(1-F119/G119)</f>
        <v>3.52790837671903</v>
      </c>
    </row>
    <row r="120" spans="5:8">
      <c r="E120">
        <f t="shared" si="2"/>
        <v>116</v>
      </c>
      <c r="F120">
        <f t="shared" si="3"/>
        <v>1958.41129946802</v>
      </c>
      <c r="G120">
        <f>IF(E120&gt;=$B$7,$B$6,$B$5)</f>
        <v>2000</v>
      </c>
      <c r="H120">
        <f>$B$4*F120*(1-F120/G120)</f>
        <v>3.25791124208076</v>
      </c>
    </row>
    <row r="121" spans="5:8">
      <c r="E121">
        <f t="shared" si="2"/>
        <v>117</v>
      </c>
      <c r="F121">
        <f t="shared" si="3"/>
        <v>1961.6692107101</v>
      </c>
      <c r="G121">
        <f>IF(E121&gt;=$B$7,$B$6,$B$5)</f>
        <v>2000</v>
      </c>
      <c r="H121">
        <f>$B$4*F121*(1-F121/G121)</f>
        <v>3.00769316688838</v>
      </c>
    </row>
    <row r="122" spans="5:8">
      <c r="E122">
        <f t="shared" si="2"/>
        <v>118</v>
      </c>
      <c r="F122">
        <f t="shared" si="3"/>
        <v>1964.67690387699</v>
      </c>
      <c r="G122">
        <f>IF(E122&gt;=$B$7,$B$6,$B$5)</f>
        <v>2000</v>
      </c>
      <c r="H122">
        <f>$B$4*F122*(1-F122/G122)</f>
        <v>2.77593884505217</v>
      </c>
    </row>
    <row r="123" spans="5:8">
      <c r="E123">
        <f t="shared" si="2"/>
        <v>119</v>
      </c>
      <c r="F123">
        <f t="shared" si="3"/>
        <v>1967.45284272204</v>
      </c>
      <c r="G123">
        <f>IF(E123&gt;=$B$7,$B$6,$B$5)</f>
        <v>2000</v>
      </c>
      <c r="H123">
        <f>$B$4*F123*(1-F123/G123)</f>
        <v>2.56139988436155</v>
      </c>
    </row>
    <row r="124" spans="5:8">
      <c r="E124">
        <f t="shared" si="2"/>
        <v>120</v>
      </c>
      <c r="F124">
        <f t="shared" si="3"/>
        <v>1970.0142426064</v>
      </c>
      <c r="G124">
        <f>IF(E124&gt;=$B$7,$B$6,$B$5)</f>
        <v>800</v>
      </c>
      <c r="H124">
        <f>$B$4*F124*(1-F124/G124)</f>
        <v>-230.494472198696</v>
      </c>
    </row>
    <row r="125" spans="5:8">
      <c r="E125">
        <f t="shared" si="2"/>
        <v>121</v>
      </c>
      <c r="F125">
        <f t="shared" si="3"/>
        <v>1739.51977040771</v>
      </c>
      <c r="G125">
        <f>IF(E125&gt;=$B$7,$B$6,$B$5)</f>
        <v>800</v>
      </c>
      <c r="H125">
        <f>$B$4*F125*(1-F125/G125)</f>
        <v>-163.431321531312</v>
      </c>
    </row>
    <row r="126" spans="5:8">
      <c r="E126">
        <f t="shared" si="2"/>
        <v>122</v>
      </c>
      <c r="F126">
        <f t="shared" si="3"/>
        <v>1576.0884488764</v>
      </c>
      <c r="G126">
        <f>IF(E126&gt;=$B$7,$B$6,$B$5)</f>
        <v>800</v>
      </c>
      <c r="H126">
        <f>$B$4*F126*(1-F126/G126)</f>
        <v>-122.318403958049</v>
      </c>
    </row>
    <row r="127" spans="5:8">
      <c r="E127">
        <f t="shared" si="2"/>
        <v>123</v>
      </c>
      <c r="F127">
        <f t="shared" si="3"/>
        <v>1453.77004491835</v>
      </c>
      <c r="G127">
        <f>IF(E127&gt;=$B$7,$B$6,$B$5)</f>
        <v>800</v>
      </c>
      <c r="H127">
        <f>$B$4*F127*(1-F127/G127)</f>
        <v>-95.0431307567216</v>
      </c>
    </row>
    <row r="128" spans="5:8">
      <c r="E128">
        <f t="shared" si="2"/>
        <v>124</v>
      </c>
      <c r="F128">
        <f t="shared" si="3"/>
        <v>1358.72691416163</v>
      </c>
      <c r="G128">
        <f>IF(E128&gt;=$B$7,$B$6,$B$5)</f>
        <v>800</v>
      </c>
      <c r="H128">
        <f>$B$4*F128*(1-F128/G128)</f>
        <v>-75.9157295937874</v>
      </c>
    </row>
    <row r="129" spans="5:8">
      <c r="E129">
        <f t="shared" si="2"/>
        <v>125</v>
      </c>
      <c r="F129">
        <f t="shared" si="3"/>
        <v>1282.81118456784</v>
      </c>
      <c r="G129">
        <f>IF(E129&gt;=$B$7,$B$6,$B$5)</f>
        <v>800</v>
      </c>
      <c r="H129">
        <f>$B$4*F129*(1-F129/G129)</f>
        <v>-61.935558759807</v>
      </c>
    </row>
    <row r="130" spans="5:8">
      <c r="E130">
        <f t="shared" si="2"/>
        <v>126</v>
      </c>
      <c r="F130">
        <f t="shared" si="3"/>
        <v>1220.87562580803</v>
      </c>
      <c r="G130">
        <f>IF(E130&gt;=$B$7,$B$6,$B$5)</f>
        <v>800</v>
      </c>
      <c r="H130">
        <f>$B$4*F130*(1-F130/G130)</f>
        <v>-51.3836793045727</v>
      </c>
    </row>
    <row r="131" spans="5:8">
      <c r="E131">
        <f t="shared" si="2"/>
        <v>127</v>
      </c>
      <c r="F131">
        <f t="shared" si="3"/>
        <v>1169.49194650346</v>
      </c>
      <c r="G131">
        <f>IF(E131&gt;=$B$7,$B$6,$B$5)</f>
        <v>800</v>
      </c>
      <c r="H131">
        <f>$B$4*F131*(1-F131/G131)</f>
        <v>-43.2117855733682</v>
      </c>
    </row>
    <row r="132" spans="5:8">
      <c r="E132">
        <f t="shared" si="2"/>
        <v>128</v>
      </c>
      <c r="F132">
        <f t="shared" si="3"/>
        <v>1126.28016093009</v>
      </c>
      <c r="G132">
        <f>IF(E132&gt;=$B$7,$B$6,$B$5)</f>
        <v>800</v>
      </c>
      <c r="H132">
        <f>$B$4*F132*(1-F132/G132)</f>
        <v>-36.7482872160638</v>
      </c>
    </row>
    <row r="133" spans="5:8">
      <c r="E133">
        <f t="shared" ref="E133:E196" si="4">E132+1</f>
        <v>129</v>
      </c>
      <c r="F133">
        <f t="shared" ref="F133:F196" si="5">F132+H132</f>
        <v>1089.53187371403</v>
      </c>
      <c r="G133">
        <f>IF(E133&gt;=$B$7,$B$6,$B$5)</f>
        <v>800</v>
      </c>
      <c r="H133">
        <f>$B$4*F133*(1-F133/G133)</f>
        <v>-31.5454204867577</v>
      </c>
    </row>
    <row r="134" spans="5:8">
      <c r="E134">
        <f t="shared" si="4"/>
        <v>130</v>
      </c>
      <c r="F134">
        <f t="shared" si="5"/>
        <v>1057.98645322727</v>
      </c>
      <c r="G134">
        <f>IF(E134&gt;=$B$7,$B$6,$B$5)</f>
        <v>800</v>
      </c>
      <c r="H134">
        <f>$B$4*F134*(1-F134/G134)</f>
        <v>-27.2946172630601</v>
      </c>
    </row>
    <row r="135" spans="5:8">
      <c r="E135">
        <f t="shared" si="4"/>
        <v>131</v>
      </c>
      <c r="F135">
        <f t="shared" si="5"/>
        <v>1030.69183596421</v>
      </c>
      <c r="G135">
        <f>IF(E135&gt;=$B$7,$B$6,$B$5)</f>
        <v>800</v>
      </c>
      <c r="H135">
        <f>$B$4*F135*(1-F135/G135)</f>
        <v>-23.7772191951905</v>
      </c>
    </row>
    <row r="136" spans="5:8">
      <c r="E136">
        <f t="shared" si="4"/>
        <v>132</v>
      </c>
      <c r="F136">
        <f t="shared" si="5"/>
        <v>1006.91461676902</v>
      </c>
      <c r="G136">
        <f>IF(E136&gt;=$B$7,$B$6,$B$5)</f>
        <v>800</v>
      </c>
      <c r="H136">
        <f>$B$4*F136*(1-F136/G136)</f>
        <v>-20.8345352047885</v>
      </c>
    </row>
    <row r="137" spans="5:8">
      <c r="E137">
        <f t="shared" si="4"/>
        <v>133</v>
      </c>
      <c r="F137">
        <f t="shared" si="5"/>
        <v>986.08008156423</v>
      </c>
      <c r="G137">
        <f>IF(E137&gt;=$B$7,$B$6,$B$5)</f>
        <v>800</v>
      </c>
      <c r="H137">
        <f>$B$4*F137*(1-F137/G137)</f>
        <v>-18.3489862006335</v>
      </c>
    </row>
    <row r="138" spans="5:8">
      <c r="E138">
        <f t="shared" si="4"/>
        <v>134</v>
      </c>
      <c r="F138">
        <f t="shared" si="5"/>
        <v>967.731095363597</v>
      </c>
      <c r="G138">
        <f>IF(E138&gt;=$B$7,$B$6,$B$5)</f>
        <v>800</v>
      </c>
      <c r="H138">
        <f>$B$4*F138*(1-F138/G138)</f>
        <v>-16.2318596642749</v>
      </c>
    </row>
    <row r="139" spans="5:8">
      <c r="E139">
        <f t="shared" si="4"/>
        <v>135</v>
      </c>
      <c r="F139">
        <f t="shared" si="5"/>
        <v>951.499235699322</v>
      </c>
      <c r="G139">
        <f>IF(E139&gt;=$B$7,$B$6,$B$5)</f>
        <v>800</v>
      </c>
      <c r="H139">
        <f>$B$4*F139*(1-F139/G139)</f>
        <v>-14.4151406976936</v>
      </c>
    </row>
    <row r="140" spans="5:8">
      <c r="E140">
        <f t="shared" si="4"/>
        <v>136</v>
      </c>
      <c r="F140">
        <f t="shared" si="5"/>
        <v>937.084095001628</v>
      </c>
      <c r="G140">
        <f>IF(E140&gt;=$B$7,$B$6,$B$5)</f>
        <v>800</v>
      </c>
      <c r="H140">
        <f>$B$4*F140*(1-F140/G140)</f>
        <v>-12.8459325103718</v>
      </c>
    </row>
    <row r="141" spans="5:8">
      <c r="E141">
        <f t="shared" si="4"/>
        <v>137</v>
      </c>
      <c r="F141">
        <f t="shared" si="5"/>
        <v>924.238162491256</v>
      </c>
      <c r="G141">
        <f>IF(E141&gt;=$B$7,$B$6,$B$5)</f>
        <v>800</v>
      </c>
      <c r="H141">
        <f>$B$4*F141*(1-F141/G141)</f>
        <v>-11.4825651012209</v>
      </c>
    </row>
    <row r="142" spans="5:8">
      <c r="E142">
        <f t="shared" si="4"/>
        <v>138</v>
      </c>
      <c r="F142">
        <f t="shared" si="5"/>
        <v>912.755597390036</v>
      </c>
      <c r="G142">
        <f>IF(E142&gt;=$B$7,$B$6,$B$5)</f>
        <v>800</v>
      </c>
      <c r="H142">
        <f>$B$4*F142*(1-F142/G142)</f>
        <v>-10.2918302654812</v>
      </c>
    </row>
    <row r="143" spans="5:8">
      <c r="E143">
        <f t="shared" si="4"/>
        <v>139</v>
      </c>
      <c r="F143">
        <f t="shared" si="5"/>
        <v>902.463767124554</v>
      </c>
      <c r="G143">
        <f>IF(E143&gt;=$B$7,$B$6,$B$5)</f>
        <v>800</v>
      </c>
      <c r="H143">
        <f>$B$4*F143*(1-F143/G143)</f>
        <v>-9.24698372729983</v>
      </c>
    </row>
    <row r="144" spans="5:8">
      <c r="E144">
        <f t="shared" si="4"/>
        <v>140</v>
      </c>
      <c r="F144">
        <f t="shared" si="5"/>
        <v>893.216783397255</v>
      </c>
      <c r="G144">
        <f>IF(E144&gt;=$B$7,$B$6,$B$5)</f>
        <v>800</v>
      </c>
      <c r="H144">
        <f>$B$4*F144*(1-F144/G144)</f>
        <v>-8.32627954247343</v>
      </c>
    </row>
    <row r="145" spans="5:8">
      <c r="E145">
        <f t="shared" si="4"/>
        <v>141</v>
      </c>
      <c r="F145">
        <f t="shared" si="5"/>
        <v>884.890503854781</v>
      </c>
      <c r="G145">
        <f>IF(E145&gt;=$B$7,$B$6,$B$5)</f>
        <v>800</v>
      </c>
      <c r="H145">
        <f>$B$4*F145*(1-F145/G145)</f>
        <v>-7.51188007285434</v>
      </c>
    </row>
    <row r="146" spans="5:8">
      <c r="E146">
        <f t="shared" si="4"/>
        <v>142</v>
      </c>
      <c r="F146">
        <f t="shared" si="5"/>
        <v>877.378623781927</v>
      </c>
      <c r="G146">
        <f>IF(E146&gt;=$B$7,$B$6,$B$5)</f>
        <v>800</v>
      </c>
      <c r="H146">
        <f>$B$4*F146*(1-F146/G146)</f>
        <v>-6.78903504439264</v>
      </c>
    </row>
    <row r="147" spans="5:8">
      <c r="E147">
        <f t="shared" si="4"/>
        <v>143</v>
      </c>
      <c r="F147">
        <f t="shared" si="5"/>
        <v>870.589588737534</v>
      </c>
      <c r="G147">
        <f>IF(E147&gt;=$B$7,$B$6,$B$5)</f>
        <v>800</v>
      </c>
      <c r="H147">
        <f>$B$4*F147*(1-F147/G147)</f>
        <v>-6.14545610281615</v>
      </c>
    </row>
    <row r="148" spans="5:8">
      <c r="E148">
        <f t="shared" si="4"/>
        <v>144</v>
      </c>
      <c r="F148">
        <f t="shared" si="5"/>
        <v>864.444132634718</v>
      </c>
      <c r="G148">
        <f>IF(E148&gt;=$B$7,$B$6,$B$5)</f>
        <v>800</v>
      </c>
      <c r="H148">
        <f>$B$4*F148*(1-F148/G148)</f>
        <v>-5.57083523388154</v>
      </c>
    </row>
    <row r="149" spans="5:8">
      <c r="E149">
        <f t="shared" si="4"/>
        <v>145</v>
      </c>
      <c r="F149">
        <f t="shared" si="5"/>
        <v>858.873297400836</v>
      </c>
      <c r="G149">
        <f>IF(E149&gt;=$B$7,$B$6,$B$5)</f>
        <v>800</v>
      </c>
      <c r="H149">
        <f>$B$4*F149*(1-F149/G149)</f>
        <v>-5.05647030675164</v>
      </c>
    </row>
    <row r="150" spans="5:8">
      <c r="E150">
        <f t="shared" si="4"/>
        <v>146</v>
      </c>
      <c r="F150">
        <f t="shared" si="5"/>
        <v>853.816827094085</v>
      </c>
      <c r="G150">
        <f>IF(E150&gt;=$B$7,$B$6,$B$5)</f>
        <v>800</v>
      </c>
      <c r="H150">
        <f>$B$4*F150*(1-F150/G150)</f>
        <v>-4.59497125537424</v>
      </c>
    </row>
    <row r="151" spans="5:8">
      <c r="E151">
        <f t="shared" si="4"/>
        <v>147</v>
      </c>
      <c r="F151">
        <f t="shared" si="5"/>
        <v>849.22185583871</v>
      </c>
      <c r="G151">
        <f>IF(E151&gt;=$B$7,$B$6,$B$5)</f>
        <v>800</v>
      </c>
      <c r="H151">
        <f>$B$4*F151*(1-F151/G151)</f>
        <v>-4.18002757631752</v>
      </c>
    </row>
    <row r="152" spans="5:8">
      <c r="E152">
        <f t="shared" si="4"/>
        <v>148</v>
      </c>
      <c r="F152">
        <f t="shared" si="5"/>
        <v>845.041828262393</v>
      </c>
      <c r="G152">
        <f>IF(E152&gt;=$B$7,$B$6,$B$5)</f>
        <v>800</v>
      </c>
      <c r="H152">
        <f>$B$4*F152*(1-F152/G152)</f>
        <v>-3.80622289031332</v>
      </c>
    </row>
    <row r="153" spans="5:8">
      <c r="E153">
        <f t="shared" si="4"/>
        <v>149</v>
      </c>
      <c r="F153">
        <f t="shared" si="5"/>
        <v>841.23560537208</v>
      </c>
      <c r="G153">
        <f>IF(E153&gt;=$B$7,$B$6,$B$5)</f>
        <v>800</v>
      </c>
      <c r="H153">
        <f>$B$4*F153*(1-F153/G153)</f>
        <v>-3.46888594480655</v>
      </c>
    </row>
    <row r="154" spans="5:8">
      <c r="E154">
        <f t="shared" si="4"/>
        <v>150</v>
      </c>
      <c r="F154">
        <f t="shared" si="5"/>
        <v>837.766719427273</v>
      </c>
      <c r="G154">
        <f>IF(E154&gt;=$B$7,$B$6,$B$5)</f>
        <v>800</v>
      </c>
      <c r="H154">
        <f>$B$4*F154*(1-F154/G154)</f>
        <v>-3.16397006381168</v>
      </c>
    </row>
    <row r="155" spans="5:8">
      <c r="E155">
        <f t="shared" si="4"/>
        <v>151</v>
      </c>
      <c r="F155">
        <f t="shared" si="5"/>
        <v>834.602749363461</v>
      </c>
      <c r="G155">
        <f>IF(E155&gt;=$B$7,$B$6,$B$5)</f>
        <v>800</v>
      </c>
      <c r="H155">
        <f>$B$4*F155*(1-F155/G155)</f>
        <v>-2.88795497542796</v>
      </c>
    </row>
    <row r="156" spans="5:8">
      <c r="E156">
        <f t="shared" si="4"/>
        <v>152</v>
      </c>
      <c r="F156">
        <f t="shared" si="5"/>
        <v>831.714794388033</v>
      </c>
      <c r="G156">
        <f>IF(E156&gt;=$B$7,$B$6,$B$5)</f>
        <v>800</v>
      </c>
      <c r="H156">
        <f>$B$4*F156*(1-F156/G156)</f>
        <v>-2.6377663693502</v>
      </c>
    </row>
    <row r="157" spans="5:8">
      <c r="E157">
        <f t="shared" si="4"/>
        <v>153</v>
      </c>
      <c r="F157">
        <f t="shared" si="5"/>
        <v>829.077028018683</v>
      </c>
      <c r="G157">
        <f>IF(E157&gt;=$B$7,$B$6,$B$5)</f>
        <v>800</v>
      </c>
      <c r="H157">
        <f>$B$4*F157*(1-F157/G157)</f>
        <v>-2.41070959733459</v>
      </c>
    </row>
    <row r="158" spans="5:8">
      <c r="E158">
        <f t="shared" si="4"/>
        <v>154</v>
      </c>
      <c r="F158">
        <f t="shared" si="5"/>
        <v>826.666318421349</v>
      </c>
      <c r="G158">
        <f>IF(E158&gt;=$B$7,$B$6,$B$5)</f>
        <v>800</v>
      </c>
      <c r="H158">
        <f>$B$4*F158*(1-F158/G158)</f>
        <v>-2.20441472752277</v>
      </c>
    </row>
    <row r="159" spans="5:8">
      <c r="E159">
        <f t="shared" si="4"/>
        <v>155</v>
      </c>
      <c r="F159">
        <f t="shared" si="5"/>
        <v>824.461903693826</v>
      </c>
      <c r="G159">
        <f>IF(E159&gt;=$B$7,$B$6,$B$5)</f>
        <v>800</v>
      </c>
      <c r="H159">
        <f>$B$4*F159*(1-F159/G159)</f>
        <v>-2.01679076873866</v>
      </c>
    </row>
    <row r="160" spans="5:8">
      <c r="E160">
        <f t="shared" si="4"/>
        <v>156</v>
      </c>
      <c r="F160">
        <f t="shared" si="5"/>
        <v>822.445112925087</v>
      </c>
      <c r="G160">
        <f>IF(E160&gt;=$B$7,$B$6,$B$5)</f>
        <v>800</v>
      </c>
      <c r="H160">
        <f>$B$4*F160*(1-F160/G160)</f>
        <v>-1.84598734342896</v>
      </c>
    </row>
    <row r="161" spans="5:8">
      <c r="E161">
        <f t="shared" si="4"/>
        <v>157</v>
      </c>
      <c r="F161">
        <f t="shared" si="5"/>
        <v>820.599125581658</v>
      </c>
      <c r="G161">
        <f>IF(E161&gt;=$B$7,$B$6,$B$5)</f>
        <v>800</v>
      </c>
      <c r="H161">
        <f>$B$4*F161*(1-F161/G161)</f>
        <v>-1.69036244400554</v>
      </c>
    </row>
    <row r="162" spans="5:8">
      <c r="E162">
        <f t="shared" si="4"/>
        <v>158</v>
      </c>
      <c r="F162">
        <f t="shared" si="5"/>
        <v>818.908763137653</v>
      </c>
      <c r="G162">
        <f>IF(E162&gt;=$B$7,$B$6,$B$5)</f>
        <v>800</v>
      </c>
      <c r="H162">
        <f>$B$4*F162*(1-F162/G162)</f>
        <v>-1.54845518335179</v>
      </c>
    </row>
    <row r="163" spans="5:8">
      <c r="E163">
        <f t="shared" si="4"/>
        <v>159</v>
      </c>
      <c r="F163">
        <f t="shared" si="5"/>
        <v>817.360307954301</v>
      </c>
      <c r="G163">
        <f>IF(E163&gt;=$B$7,$B$6,$B$5)</f>
        <v>800</v>
      </c>
      <c r="H163">
        <f>$B$4*F163*(1-F163/G163)</f>
        <v>-1.41896266557087</v>
      </c>
    </row>
    <row r="164" spans="5:8">
      <c r="E164">
        <f t="shared" si="4"/>
        <v>160</v>
      </c>
      <c r="F164">
        <f t="shared" si="5"/>
        <v>815.94134528873</v>
      </c>
      <c r="G164">
        <f>IF(E164&gt;=$B$7,$B$6,$B$5)</f>
        <v>800</v>
      </c>
      <c r="H164">
        <f>$B$4*F164*(1-F164/G164)</f>
        <v>-1.30072027205984</v>
      </c>
    </row>
    <row r="165" spans="5:8">
      <c r="E165">
        <f t="shared" si="4"/>
        <v>161</v>
      </c>
      <c r="F165">
        <f t="shared" si="5"/>
        <v>814.64062501667</v>
      </c>
      <c r="G165">
        <f>IF(E165&gt;=$B$7,$B$6,$B$5)</f>
        <v>800</v>
      </c>
      <c r="H165">
        <f>$B$4*F165*(1-F165/G165)</f>
        <v>-1.19268479142148</v>
      </c>
    </row>
    <row r="166" spans="5:8">
      <c r="E166">
        <f t="shared" si="4"/>
        <v>162</v>
      </c>
      <c r="F166">
        <f t="shared" si="5"/>
        <v>813.447940225249</v>
      </c>
      <c r="G166">
        <f>IF(E166&gt;=$B$7,$B$6,$B$5)</f>
        <v>800</v>
      </c>
      <c r="H166">
        <f>$B$4*F166*(1-F166/G166)</f>
        <v>-1.09391992765008</v>
      </c>
    </row>
    <row r="167" spans="5:8">
      <c r="E167">
        <f t="shared" si="4"/>
        <v>163</v>
      </c>
      <c r="F167">
        <f t="shared" si="5"/>
        <v>812.354020297598</v>
      </c>
      <c r="G167">
        <f>IF(E167&gt;=$B$7,$B$6,$B$5)</f>
        <v>800</v>
      </c>
      <c r="H167">
        <f>$B$4*F167*(1-F167/G167)</f>
        <v>-1.00358380555922</v>
      </c>
    </row>
    <row r="168" spans="5:8">
      <c r="E168">
        <f t="shared" si="4"/>
        <v>164</v>
      </c>
      <c r="F168">
        <f t="shared" si="5"/>
        <v>811.350436492039</v>
      </c>
      <c r="G168">
        <f>IF(E168&gt;=$B$7,$B$6,$B$5)</f>
        <v>800</v>
      </c>
      <c r="H168">
        <f>$B$4*F168*(1-F168/G168)</f>
        <v>-0.920918160219128</v>
      </c>
    </row>
    <row r="169" spans="5:8">
      <c r="E169">
        <f t="shared" si="4"/>
        <v>165</v>
      </c>
      <c r="F169">
        <f t="shared" si="5"/>
        <v>810.42951833182</v>
      </c>
      <c r="G169">
        <f>IF(E169&gt;=$B$7,$B$6,$B$5)</f>
        <v>800</v>
      </c>
      <c r="H169">
        <f>$B$4*F169*(1-F169/G169)</f>
        <v>-0.845238951808993</v>
      </c>
    </row>
    <row r="170" spans="5:8">
      <c r="E170">
        <f t="shared" si="4"/>
        <v>166</v>
      </c>
      <c r="F170">
        <f t="shared" si="5"/>
        <v>809.584279380011</v>
      </c>
      <c r="G170">
        <f>IF(E170&gt;=$B$7,$B$6,$B$5)</f>
        <v>800</v>
      </c>
      <c r="H170">
        <f>$B$4*F170*(1-F170/G170)</f>
        <v>-0.775928191524315</v>
      </c>
    </row>
    <row r="171" spans="5:8">
      <c r="E171">
        <f t="shared" si="4"/>
        <v>167</v>
      </c>
      <c r="F171">
        <f t="shared" si="5"/>
        <v>808.808351188487</v>
      </c>
      <c r="G171">
        <f>IF(E171&gt;=$B$7,$B$6,$B$5)</f>
        <v>800</v>
      </c>
      <c r="H171">
        <f>$B$4*F171*(1-F171/G171)</f>
        <v>-0.71242680014493</v>
      </c>
    </row>
    <row r="172" spans="5:8">
      <c r="E172">
        <f t="shared" si="4"/>
        <v>168</v>
      </c>
      <c r="F172">
        <f t="shared" si="5"/>
        <v>808.095924388342</v>
      </c>
      <c r="G172">
        <f>IF(E172&gt;=$B$7,$B$6,$B$5)</f>
        <v>800</v>
      </c>
      <c r="H172">
        <f>$B$4*F172*(1-F172/G172)</f>
        <v>-0.654228350237536</v>
      </c>
    </row>
    <row r="173" spans="5:8">
      <c r="E173">
        <f t="shared" si="4"/>
        <v>169</v>
      </c>
      <c r="F173">
        <f t="shared" si="5"/>
        <v>807.441696038105</v>
      </c>
      <c r="G173">
        <f>IF(E173&gt;=$B$7,$B$6,$B$5)</f>
        <v>800</v>
      </c>
      <c r="H173">
        <f>$B$4*F173*(1-F173/G173)</f>
        <v>-0.600873567040715</v>
      </c>
    </row>
    <row r="174" spans="5:8">
      <c r="E174">
        <f t="shared" si="4"/>
        <v>170</v>
      </c>
      <c r="F174">
        <f t="shared" si="5"/>
        <v>806.840822471064</v>
      </c>
      <c r="G174">
        <f>IF(E174&gt;=$B$7,$B$6,$B$5)</f>
        <v>800</v>
      </c>
      <c r="H174">
        <f>$B$4*F174*(1-F174/G174)</f>
        <v>-0.551945482893161</v>
      </c>
    </row>
    <row r="175" spans="5:8">
      <c r="E175">
        <f t="shared" si="4"/>
        <v>171</v>
      </c>
      <c r="F175">
        <f t="shared" si="5"/>
        <v>806.288876988171</v>
      </c>
      <c r="G175">
        <f>IF(E175&gt;=$B$7,$B$6,$B$5)</f>
        <v>800</v>
      </c>
      <c r="H175">
        <f>$B$4*F175*(1-F175/G175)</f>
        <v>-0.507065156430882</v>
      </c>
    </row>
    <row r="176" spans="5:8">
      <c r="E176">
        <f t="shared" si="4"/>
        <v>172</v>
      </c>
      <c r="F176">
        <f t="shared" si="5"/>
        <v>805.78181183174</v>
      </c>
      <c r="G176">
        <f>IF(E176&gt;=$B$7,$B$6,$B$5)</f>
        <v>800</v>
      </c>
      <c r="H176">
        <f>$B$4*F176*(1-F176/G176)</f>
        <v>-0.465887881344947</v>
      </c>
    </row>
    <row r="177" spans="5:8">
      <c r="E177">
        <f t="shared" si="4"/>
        <v>173</v>
      </c>
      <c r="F177">
        <f t="shared" si="5"/>
        <v>805.315923950395</v>
      </c>
      <c r="G177">
        <f>IF(E177&gt;=$B$7,$B$6,$B$5)</f>
        <v>800</v>
      </c>
      <c r="H177">
        <f>$B$4*F177*(1-F177/G177)</f>
        <v>-0.428099820776224</v>
      </c>
    </row>
    <row r="178" spans="5:8">
      <c r="E178">
        <f t="shared" si="4"/>
        <v>174</v>
      </c>
      <c r="F178">
        <f t="shared" si="5"/>
        <v>804.887824129619</v>
      </c>
      <c r="G178">
        <f>IF(E178&gt;=$B$7,$B$6,$B$5)</f>
        <v>800</v>
      </c>
      <c r="H178">
        <f>$B$4*F178*(1-F178/G178)</f>
        <v>-0.393415012841703</v>
      </c>
    </row>
    <row r="179" spans="5:8">
      <c r="E179">
        <f t="shared" si="4"/>
        <v>175</v>
      </c>
      <c r="F179">
        <f t="shared" si="5"/>
        <v>804.494409116777</v>
      </c>
      <c r="G179">
        <f>IF(E179&gt;=$B$7,$B$6,$B$5)</f>
        <v>800</v>
      </c>
      <c r="H179">
        <f>$B$4*F179*(1-F179/G179)</f>
        <v>-0.361572700673052</v>
      </c>
    </row>
    <row r="180" spans="5:8">
      <c r="E180">
        <f t="shared" si="4"/>
        <v>176</v>
      </c>
      <c r="F180">
        <f t="shared" si="5"/>
        <v>804.132836416104</v>
      </c>
      <c r="G180">
        <f>IF(E180&gt;=$B$7,$B$6,$B$5)</f>
        <v>800</v>
      </c>
      <c r="H180">
        <f>$B$4*F180*(1-F180/G180)</f>
        <v>-0.332334946972541</v>
      </c>
    </row>
    <row r="181" spans="5:8">
      <c r="E181">
        <f t="shared" si="4"/>
        <v>177</v>
      </c>
      <c r="F181">
        <f t="shared" si="5"/>
        <v>803.800501469131</v>
      </c>
      <c r="G181">
        <f>IF(E181&gt;=$B$7,$B$6,$B$5)</f>
        <v>800</v>
      </c>
      <c r="H181">
        <f>$B$4*F181*(1-F181/G181)</f>
        <v>-0.305484498672192</v>
      </c>
    </row>
    <row r="182" spans="5:8">
      <c r="E182">
        <f t="shared" si="4"/>
        <v>178</v>
      </c>
      <c r="F182">
        <f t="shared" si="5"/>
        <v>803.495016970459</v>
      </c>
      <c r="G182">
        <f>IF(E182&gt;=$B$7,$B$6,$B$5)</f>
        <v>800</v>
      </c>
      <c r="H182">
        <f>$B$4*F182*(1-F182/G182)</f>
        <v>-0.280822871999116</v>
      </c>
    </row>
    <row r="183" spans="5:8">
      <c r="E183">
        <f t="shared" si="4"/>
        <v>179</v>
      </c>
      <c r="F183">
        <f t="shared" si="5"/>
        <v>803.21419409846</v>
      </c>
      <c r="G183">
        <f>IF(E183&gt;=$B$7,$B$6,$B$5)</f>
        <v>800</v>
      </c>
      <c r="H183">
        <f>$B$4*F183*(1-F183/G183)</f>
        <v>-0.258168632247056</v>
      </c>
    </row>
    <row r="184" spans="5:8">
      <c r="E184">
        <f t="shared" si="4"/>
        <v>180</v>
      </c>
      <c r="F184">
        <f t="shared" si="5"/>
        <v>802.956025466213</v>
      </c>
      <c r="G184">
        <f>IF(E184&gt;=$B$7,$B$6,$B$5)</f>
        <v>800</v>
      </c>
      <c r="H184">
        <f>$B$4*F184*(1-F184/G184)</f>
        <v>-0.237355845952727</v>
      </c>
    </row>
    <row r="185" spans="5:8">
      <c r="E185">
        <f t="shared" si="4"/>
        <v>181</v>
      </c>
      <c r="F185">
        <f t="shared" si="5"/>
        <v>802.71866962026</v>
      </c>
      <c r="G185">
        <f>IF(E185&gt;=$B$7,$B$6,$B$5)</f>
        <v>800</v>
      </c>
      <c r="H185">
        <f>$B$4*F185*(1-F185/G185)</f>
        <v>-0.218232686071226</v>
      </c>
    </row>
    <row r="186" spans="5:8">
      <c r="E186">
        <f t="shared" si="4"/>
        <v>182</v>
      </c>
      <c r="F186">
        <f t="shared" si="5"/>
        <v>802.500436934189</v>
      </c>
      <c r="G186">
        <f>IF(E186&gt;=$B$7,$B$6,$B$5)</f>
        <v>800</v>
      </c>
      <c r="H186">
        <f>$B$4*F186*(1-F186/G186)</f>
        <v>-0.200660173221302</v>
      </c>
    </row>
    <row r="187" spans="5:8">
      <c r="E187">
        <f t="shared" si="4"/>
        <v>183</v>
      </c>
      <c r="F187">
        <f t="shared" si="5"/>
        <v>802.299776760968</v>
      </c>
      <c r="G187">
        <f>IF(E187&gt;=$B$7,$B$6,$B$5)</f>
        <v>800</v>
      </c>
      <c r="H187">
        <f>$B$4*F187*(1-F187/G187)</f>
        <v>-0.184511038192447</v>
      </c>
    </row>
    <row r="188" spans="5:8">
      <c r="E188">
        <f t="shared" si="4"/>
        <v>184</v>
      </c>
      <c r="F188">
        <f t="shared" si="5"/>
        <v>802.115265722775</v>
      </c>
      <c r="G188">
        <f>IF(E188&gt;=$B$7,$B$6,$B$5)</f>
        <v>800</v>
      </c>
      <c r="H188">
        <f>$B$4*F188*(1-F188/G188)</f>
        <v>-0.169668692729811</v>
      </c>
    </row>
    <row r="189" spans="5:8">
      <c r="E189">
        <f t="shared" si="4"/>
        <v>185</v>
      </c>
      <c r="F189">
        <f t="shared" si="5"/>
        <v>801.945597030045</v>
      </c>
      <c r="G189">
        <f>IF(E189&gt;=$B$7,$B$6,$B$5)</f>
        <v>800</v>
      </c>
      <c r="H189">
        <f>$B$4*F189*(1-F189/G189)</f>
        <v>-0.156026297183964</v>
      </c>
    </row>
    <row r="190" spans="5:8">
      <c r="E190">
        <f t="shared" si="4"/>
        <v>186</v>
      </c>
      <c r="F190">
        <f t="shared" si="5"/>
        <v>801.789570732861</v>
      </c>
      <c r="G190">
        <f>IF(E190&gt;=$B$7,$B$6,$B$5)</f>
        <v>800</v>
      </c>
      <c r="H190">
        <f>$B$4*F190*(1-F190/G190)</f>
        <v>-0.143485914969708</v>
      </c>
    </row>
    <row r="191" spans="5:8">
      <c r="E191">
        <f t="shared" si="4"/>
        <v>187</v>
      </c>
      <c r="F191">
        <f t="shared" si="5"/>
        <v>801.646084817892</v>
      </c>
      <c r="G191">
        <f>IF(E191&gt;=$B$7,$B$6,$B$5)</f>
        <v>800</v>
      </c>
      <c r="H191">
        <f>$B$4*F191*(1-F191/G191)</f>
        <v>-0.131957744954111</v>
      </c>
    </row>
    <row r="192" spans="5:8">
      <c r="E192">
        <f t="shared" si="4"/>
        <v>188</v>
      </c>
      <c r="F192">
        <f t="shared" si="5"/>
        <v>801.514127072938</v>
      </c>
      <c r="G192">
        <f>IF(E192&gt;=$B$7,$B$6,$B$5)</f>
        <v>800</v>
      </c>
      <c r="H192">
        <f>$B$4*F192*(1-F192/G192)</f>
        <v>-0.121359423914313</v>
      </c>
    </row>
    <row r="193" spans="5:8">
      <c r="E193">
        <f t="shared" si="4"/>
        <v>189</v>
      </c>
      <c r="F193">
        <f t="shared" si="5"/>
        <v>801.392767649023</v>
      </c>
      <c r="G193">
        <f>IF(E193&gt;=$B$7,$B$6,$B$5)</f>
        <v>800</v>
      </c>
      <c r="H193">
        <f>$B$4*F193*(1-F193/G193)</f>
        <v>-0.111615392094284</v>
      </c>
    </row>
    <row r="194" spans="5:8">
      <c r="E194">
        <f t="shared" si="4"/>
        <v>190</v>
      </c>
      <c r="F194">
        <f t="shared" si="5"/>
        <v>801.281152256929</v>
      </c>
      <c r="G194">
        <f>IF(E194&gt;=$B$7,$B$6,$B$5)</f>
        <v>800</v>
      </c>
      <c r="H194">
        <f>$B$4*F194*(1-F194/G194)</f>
        <v>-0.102656315664865</v>
      </c>
    </row>
    <row r="195" spans="5:8">
      <c r="E195">
        <f t="shared" si="4"/>
        <v>191</v>
      </c>
      <c r="F195">
        <f t="shared" si="5"/>
        <v>801.178495941264</v>
      </c>
      <c r="G195">
        <f>IF(E195&gt;=$B$7,$B$6,$B$5)</f>
        <v>800</v>
      </c>
      <c r="H195">
        <f>$B$4*F195*(1-F195/G195)</f>
        <v>-0.0944185605694955</v>
      </c>
    </row>
    <row r="196" spans="5:8">
      <c r="E196">
        <f t="shared" si="4"/>
        <v>192</v>
      </c>
      <c r="F196">
        <f t="shared" si="5"/>
        <v>801.084077380695</v>
      </c>
      <c r="G196">
        <f>IF(E196&gt;=$B$7,$B$6,$B$5)</f>
        <v>800</v>
      </c>
      <c r="H196">
        <f>$B$4*F196*(1-F196/G196)</f>
        <v>-0.0868437128323123</v>
      </c>
    </row>
    <row r="197" spans="5:8">
      <c r="E197">
        <f t="shared" ref="E197:E223" si="6">E196+1</f>
        <v>193</v>
      </c>
      <c r="F197">
        <f t="shared" ref="F197:F223" si="7">F196+H196</f>
        <v>800.997233667862</v>
      </c>
      <c r="G197">
        <f>IF(E197&gt;=$B$7,$B$6,$B$5)</f>
        <v>800</v>
      </c>
      <c r="H197">
        <f>$B$4*F197*(1-F197/G197)</f>
        <v>-0.0798781409278235</v>
      </c>
    </row>
    <row r="198" spans="5:8">
      <c r="E198">
        <f t="shared" si="6"/>
        <v>194</v>
      </c>
      <c r="F198">
        <f t="shared" si="7"/>
        <v>800.917355526935</v>
      </c>
      <c r="G198">
        <f>IF(E198&gt;=$B$7,$B$6,$B$5)</f>
        <v>800</v>
      </c>
      <c r="H198">
        <f>$B$4*F198*(1-F198/G198)</f>
        <v>-0.0734725962710454</v>
      </c>
    </row>
    <row r="199" spans="5:8">
      <c r="E199">
        <f t="shared" si="6"/>
        <v>195</v>
      </c>
      <c r="F199">
        <f t="shared" si="7"/>
        <v>800.843882930664</v>
      </c>
      <c r="G199">
        <f>IF(E199&gt;=$B$7,$B$6,$B$5)</f>
        <v>800</v>
      </c>
      <c r="H199">
        <f>$B$4*F199*(1-F199/G199)</f>
        <v>-0.0675818482931526</v>
      </c>
    </row>
    <row r="200" spans="5:8">
      <c r="E200">
        <f t="shared" si="6"/>
        <v>196</v>
      </c>
      <c r="F200">
        <f t="shared" si="7"/>
        <v>800.77630108237</v>
      </c>
      <c r="G200">
        <f>IF(E200&gt;=$B$7,$B$6,$B$5)</f>
        <v>800</v>
      </c>
      <c r="H200">
        <f>$B$4*F200*(1-F200/G200)</f>
        <v>-0.0621643509266766</v>
      </c>
    </row>
    <row r="201" spans="5:8">
      <c r="E201">
        <f t="shared" si="6"/>
        <v>197</v>
      </c>
      <c r="F201">
        <f t="shared" si="7"/>
        <v>800.714136731444</v>
      </c>
      <c r="G201">
        <f>IF(E201&gt;=$B$7,$B$6,$B$5)</f>
        <v>800</v>
      </c>
      <c r="H201">
        <f>$B$4*F201*(1-F201/G201)</f>
        <v>-0.0571819376426187</v>
      </c>
    </row>
    <row r="202" spans="5:8">
      <c r="E202">
        <f t="shared" si="6"/>
        <v>198</v>
      </c>
      <c r="F202">
        <f t="shared" si="7"/>
        <v>800.656954793801</v>
      </c>
      <c r="G202">
        <f>IF(E202&gt;=$B$7,$B$6,$B$5)</f>
        <v>800</v>
      </c>
      <c r="H202">
        <f>$B$4*F202*(1-F202/G202)</f>
        <v>-0.0525995424641926</v>
      </c>
    </row>
    <row r="203" spans="5:8">
      <c r="E203">
        <f t="shared" si="6"/>
        <v>199</v>
      </c>
      <c r="F203">
        <f t="shared" si="7"/>
        <v>800.604355251337</v>
      </c>
      <c r="G203">
        <f>IF(E203&gt;=$B$7,$B$6,$B$5)</f>
        <v>800</v>
      </c>
      <c r="H203">
        <f>$B$4*F203*(1-F203/G203)</f>
        <v>-0.0483849446339291</v>
      </c>
    </row>
    <row r="204" spans="5:8">
      <c r="E204">
        <f t="shared" si="6"/>
        <v>200</v>
      </c>
      <c r="F204">
        <f t="shared" si="7"/>
        <v>800.555970306703</v>
      </c>
      <c r="G204">
        <f>IF(E204&gt;=$B$7,$B$6,$B$5)</f>
        <v>800</v>
      </c>
      <c r="H204">
        <f>$B$4*F204*(1-F204/G204)</f>
        <v>-0.0445085348344355</v>
      </c>
    </row>
    <row r="205" spans="5:8">
      <c r="E205">
        <f t="shared" si="6"/>
        <v>201</v>
      </c>
      <c r="F205">
        <f t="shared" si="7"/>
        <v>800.511461771869</v>
      </c>
      <c r="G205">
        <f>IF(E205&gt;=$B$7,$B$6,$B$5)</f>
        <v>800</v>
      </c>
      <c r="H205">
        <f>$B$4*F205*(1-F205/G205)</f>
        <v>-0.0409431010638949</v>
      </c>
    </row>
    <row r="206" spans="5:8">
      <c r="E206">
        <f t="shared" si="6"/>
        <v>202</v>
      </c>
      <c r="F206">
        <f t="shared" si="7"/>
        <v>800.470518670805</v>
      </c>
      <c r="G206">
        <f>IF(E206&gt;=$B$7,$B$6,$B$5)</f>
        <v>800</v>
      </c>
      <c r="H206">
        <f>$B$4*F206*(1-F206/G206)</f>
        <v>-0.0376636324463245</v>
      </c>
    </row>
    <row r="207" spans="5:8">
      <c r="E207">
        <f t="shared" si="6"/>
        <v>203</v>
      </c>
      <c r="F207">
        <f t="shared" si="7"/>
        <v>800.432855038358</v>
      </c>
      <c r="G207">
        <f>IF(E207&gt;=$B$7,$B$6,$B$5)</f>
        <v>800</v>
      </c>
      <c r="H207">
        <f>$B$4*F207*(1-F207/G207)</f>
        <v>-0.0346471394170893</v>
      </c>
    </row>
    <row r="208" spans="5:8">
      <c r="E208">
        <f t="shared" si="6"/>
        <v>204</v>
      </c>
      <c r="F208">
        <f t="shared" si="7"/>
        <v>800.398207898941</v>
      </c>
      <c r="G208">
        <f>IF(E208&gt;=$B$7,$B$6,$B$5)</f>
        <v>800</v>
      </c>
      <c r="H208">
        <f>$B$4*F208*(1-F208/G208)</f>
        <v>-0.0318724888683814</v>
      </c>
    </row>
    <row r="209" spans="5:8">
      <c r="E209">
        <f t="shared" si="6"/>
        <v>205</v>
      </c>
      <c r="F209">
        <f t="shared" si="7"/>
        <v>800.366335410073</v>
      </c>
      <c r="G209">
        <f>IF(E209&gt;=$B$7,$B$6,$B$5)</f>
        <v>800</v>
      </c>
      <c r="H209">
        <f>$B$4*F209*(1-F209/G209)</f>
        <v>-0.029320252969097</v>
      </c>
    </row>
    <row r="210" spans="5:8">
      <c r="E210">
        <f t="shared" si="6"/>
        <v>206</v>
      </c>
      <c r="F210">
        <f t="shared" si="7"/>
        <v>800.337015157104</v>
      </c>
      <c r="G210">
        <f>IF(E210&gt;=$B$7,$B$6,$B$5)</f>
        <v>800</v>
      </c>
      <c r="H210">
        <f>$B$4*F210*(1-F210/G210)</f>
        <v>-0.0269725704899072</v>
      </c>
    </row>
    <row r="211" spans="5:8">
      <c r="E211">
        <f t="shared" si="6"/>
        <v>207</v>
      </c>
      <c r="F211">
        <f t="shared" si="7"/>
        <v>800.310042586614</v>
      </c>
      <c r="G211">
        <f>IF(E211&gt;=$B$7,$B$6,$B$5)</f>
        <v>800</v>
      </c>
      <c r="H211">
        <f>$B$4*F211*(1-F211/G211)</f>
        <v>-0.0248130195696608</v>
      </c>
    </row>
    <row r="212" spans="5:8">
      <c r="E212">
        <f t="shared" si="6"/>
        <v>208</v>
      </c>
      <c r="F212">
        <f t="shared" si="7"/>
        <v>800.285229567044</v>
      </c>
      <c r="G212">
        <f>IF(E212&gt;=$B$7,$B$6,$B$5)</f>
        <v>800</v>
      </c>
      <c r="H212">
        <f>$B$4*F212*(1-F212/G212)</f>
        <v>-0.0228265009541257</v>
      </c>
    </row>
    <row r="213" spans="5:8">
      <c r="E213">
        <f t="shared" si="6"/>
        <v>209</v>
      </c>
      <c r="F213">
        <f t="shared" si="7"/>
        <v>800.26240306609</v>
      </c>
      <c r="G213">
        <f>IF(E213&gt;=$B$7,$B$6,$B$5)</f>
        <v>800</v>
      </c>
      <c r="H213">
        <f>$B$4*F213*(1-F213/G213)</f>
        <v>-0.0209991308241129</v>
      </c>
    </row>
    <row r="214" spans="5:8">
      <c r="E214">
        <f t="shared" si="6"/>
        <v>210</v>
      </c>
      <c r="F214">
        <f t="shared" si="7"/>
        <v>800.241403935266</v>
      </c>
      <c r="G214">
        <f>IF(E214&gt;=$B$7,$B$6,$B$5)</f>
        <v>800</v>
      </c>
      <c r="H214">
        <f>$B$4*F214*(1-F214/G214)</f>
        <v>-0.0193181424072739</v>
      </c>
    </row>
    <row r="215" spans="5:8">
      <c r="E215">
        <f t="shared" si="6"/>
        <v>211</v>
      </c>
      <c r="F215">
        <f t="shared" si="7"/>
        <v>800.222085792859</v>
      </c>
      <c r="G215">
        <f>IF(E215&gt;=$B$7,$B$6,$B$5)</f>
        <v>800</v>
      </c>
      <c r="H215">
        <f>$B$4*F215*(1-F215/G215)</f>
        <v>-0.0177717956386292</v>
      </c>
    </row>
    <row r="216" spans="5:8">
      <c r="E216">
        <f t="shared" si="6"/>
        <v>212</v>
      </c>
      <c r="F216">
        <f t="shared" si="7"/>
        <v>800.20431399722</v>
      </c>
      <c r="G216">
        <f>IF(E216&gt;=$B$7,$B$6,$B$5)</f>
        <v>800</v>
      </c>
      <c r="H216">
        <f>$B$4*F216*(1-F216/G216)</f>
        <v>-0.016349294198543</v>
      </c>
    </row>
    <row r="217" spans="5:8">
      <c r="E217">
        <f t="shared" si="6"/>
        <v>213</v>
      </c>
      <c r="F217">
        <f t="shared" si="7"/>
        <v>800.187964703021</v>
      </c>
      <c r="G217">
        <f>IF(E217&gt;=$B$7,$B$6,$B$5)</f>
        <v>800</v>
      </c>
      <c r="H217">
        <f>$B$4*F217*(1-F217/G217)</f>
        <v>-0.0150407093146776</v>
      </c>
    </row>
    <row r="218" spans="5:8">
      <c r="E218">
        <f t="shared" si="6"/>
        <v>214</v>
      </c>
      <c r="F218">
        <f t="shared" si="7"/>
        <v>800.172923993707</v>
      </c>
      <c r="G218">
        <f>IF(E218&gt;=$B$7,$B$6,$B$5)</f>
        <v>800</v>
      </c>
      <c r="H218">
        <f>$B$4*F218*(1-F218/G218)</f>
        <v>-0.013836909767294</v>
      </c>
    </row>
    <row r="219" spans="5:8">
      <c r="E219">
        <f t="shared" si="6"/>
        <v>215</v>
      </c>
      <c r="F219">
        <f t="shared" si="7"/>
        <v>800.159087083939</v>
      </c>
      <c r="G219">
        <f>IF(E219&gt;=$B$7,$B$6,$B$5)</f>
        <v>800</v>
      </c>
      <c r="H219">
        <f>$B$4*F219*(1-F219/G219)</f>
        <v>-0.0127294975851771</v>
      </c>
    </row>
    <row r="220" spans="5:8">
      <c r="E220">
        <f t="shared" si="6"/>
        <v>216</v>
      </c>
      <c r="F220">
        <f t="shared" si="7"/>
        <v>800.146357586354</v>
      </c>
      <c r="G220">
        <f>IF(E220&gt;=$B$7,$B$6,$B$5)</f>
        <v>800</v>
      </c>
      <c r="H220">
        <f>$B$4*F220*(1-F220/G220)</f>
        <v>-0.0117107489626511</v>
      </c>
    </row>
    <row r="221" spans="5:8">
      <c r="E221">
        <f t="shared" si="6"/>
        <v>217</v>
      </c>
      <c r="F221">
        <f t="shared" si="7"/>
        <v>800.134646837392</v>
      </c>
      <c r="G221">
        <f>IF(E221&gt;=$B$7,$B$6,$B$5)</f>
        <v>800</v>
      </c>
      <c r="H221">
        <f>$B$4*F221*(1-F221/G221)</f>
        <v>-0.0107735599684202</v>
      </c>
    </row>
    <row r="222" spans="5:8">
      <c r="E222">
        <f t="shared" si="6"/>
        <v>218</v>
      </c>
      <c r="F222">
        <f t="shared" si="7"/>
        <v>800.123873277423</v>
      </c>
      <c r="G222">
        <f>IF(E222&gt;=$B$7,$B$6,$B$5)</f>
        <v>800</v>
      </c>
      <c r="H222">
        <f>$B$4*F222*(1-F222/G222)</f>
        <v>-0.00991139665273688</v>
      </c>
    </row>
    <row r="223" spans="5:8">
      <c r="E223">
        <f t="shared" si="6"/>
        <v>219</v>
      </c>
      <c r="F223">
        <f t="shared" si="7"/>
        <v>800.11396188077</v>
      </c>
      <c r="G223">
        <f>IF(E223&gt;=$B$7,$B$6,$B$5)</f>
        <v>800</v>
      </c>
      <c r="H223">
        <f>$B$4*F223*(1-F223/G223)</f>
        <v>-0.00911824919267283</v>
      </c>
    </row>
  </sheetData>
  <mergeCells count="1">
    <mergeCell ref="A9:C1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3"/>
  <sheetViews>
    <sheetView workbookViewId="0">
      <selection activeCell="A1" sqref="A1"/>
    </sheetView>
  </sheetViews>
  <sheetFormatPr defaultColWidth="9" defaultRowHeight="16.8" outlineLevelCol="6"/>
  <cols>
    <col min="1" max="1" width="22" customWidth="1"/>
    <col min="2" max="2" width="12" customWidth="1"/>
    <col min="3" max="3" width="30" customWidth="1"/>
    <col min="5" max="7" width="11" customWidth="1"/>
  </cols>
  <sheetData>
    <row r="1" ht="20.4" spans="1:1">
      <c r="A1" s="1" t="s">
        <v>40</v>
      </c>
    </row>
    <row r="3" spans="1:7">
      <c r="A3" s="4" t="s">
        <v>41</v>
      </c>
      <c r="B3" s="6">
        <v>120</v>
      </c>
      <c r="C3" s="10" t="s">
        <v>42</v>
      </c>
      <c r="E3" s="9" t="s">
        <v>27</v>
      </c>
      <c r="F3" s="9" t="s">
        <v>43</v>
      </c>
      <c r="G3" s="9" t="s">
        <v>44</v>
      </c>
    </row>
    <row r="4" spans="1:7">
      <c r="A4" s="4" t="s">
        <v>45</v>
      </c>
      <c r="B4" s="6">
        <v>40</v>
      </c>
      <c r="C4" s="10" t="s">
        <v>46</v>
      </c>
      <c r="E4">
        <v>0</v>
      </c>
      <c r="F4">
        <f>$B$3</f>
        <v>120</v>
      </c>
      <c r="G4">
        <f>$B$4</f>
        <v>40</v>
      </c>
    </row>
    <row r="5" spans="1:7">
      <c r="A5" s="4" t="s">
        <v>47</v>
      </c>
      <c r="B5" s="6">
        <v>0.1</v>
      </c>
      <c r="C5" s="10" t="s">
        <v>48</v>
      </c>
      <c r="E5">
        <f t="shared" ref="E5:E68" si="0">E4+$B$9</f>
        <v>0.5</v>
      </c>
      <c r="F5">
        <f>MAX(0,F4+$B$9*($B$5*F4-$B$6*F4*G4))</f>
        <v>121.2</v>
      </c>
      <c r="G5">
        <f t="shared" ref="G5:G68" si="1">MAX(0,G4+$B$9*(-$B$7*G4+$B$8*F4*G4))</f>
        <v>40.4</v>
      </c>
    </row>
    <row r="6" spans="1:7">
      <c r="A6" s="4" t="s">
        <v>49</v>
      </c>
      <c r="B6" s="6">
        <v>0.002</v>
      </c>
      <c r="C6" s="10" t="s">
        <v>50</v>
      </c>
      <c r="E6">
        <f t="shared" si="0"/>
        <v>1</v>
      </c>
      <c r="F6">
        <f>MAX(0,F5+$B$9*($B$5*F5-$B$6*F5*G5))</f>
        <v>122.36352</v>
      </c>
      <c r="G6">
        <f t="shared" si="1"/>
        <v>40.82824</v>
      </c>
    </row>
    <row r="7" spans="1:7">
      <c r="A7" s="4" t="s">
        <v>51</v>
      </c>
      <c r="B7" s="6">
        <v>0.1</v>
      </c>
      <c r="C7" s="10" t="s">
        <v>52</v>
      </c>
      <c r="E7">
        <f t="shared" si="0"/>
        <v>1.5</v>
      </c>
      <c r="F7">
        <f>MAX(0,F6+$B$9*($B$5*F6-$B$6*F6*G6))</f>
        <v>123.485808838195</v>
      </c>
      <c r="G7">
        <f t="shared" si="1"/>
        <v>41.2847715809024</v>
      </c>
    </row>
    <row r="8" spans="1:7">
      <c r="A8" s="4" t="s">
        <v>53</v>
      </c>
      <c r="B8" s="6">
        <v>0.001</v>
      </c>
      <c r="C8" s="10" t="s">
        <v>54</v>
      </c>
      <c r="E8">
        <f t="shared" si="0"/>
        <v>2</v>
      </c>
      <c r="F8">
        <f>MAX(0,F7+$B$9*($B$5*F7-$B$6*F7*G7))</f>
        <v>124.562015868737</v>
      </c>
      <c r="G8">
        <f t="shared" si="1"/>
        <v>41.7695747075412</v>
      </c>
    </row>
    <row r="9" spans="1:7">
      <c r="A9" s="4" t="s">
        <v>55</v>
      </c>
      <c r="B9" s="6">
        <v>0.5</v>
      </c>
      <c r="C9" s="10" t="s">
        <v>56</v>
      </c>
      <c r="E9">
        <f t="shared" si="0"/>
        <v>2.5</v>
      </c>
      <c r="F9">
        <f>MAX(0,F8+$B$9*($B$5*F8-$B$6*F8*G8))</f>
        <v>125.587214234623</v>
      </c>
      <c r="G9">
        <f t="shared" si="1"/>
        <v>42.2825471859397</v>
      </c>
    </row>
    <row r="10" spans="5:7">
      <c r="E10">
        <f t="shared" si="0"/>
        <v>3</v>
      </c>
      <c r="F10">
        <f>MAX(0,F9+$B$9*($B$5*F9-$B$6*F9*G9))</f>
        <v>126.556427634528</v>
      </c>
      <c r="G10">
        <f t="shared" si="1"/>
        <v>42.8234934825558</v>
      </c>
    </row>
    <row r="11" spans="1:7">
      <c r="A11" s="8" t="s">
        <v>57</v>
      </c>
      <c r="E11">
        <f t="shared" si="0"/>
        <v>3.5</v>
      </c>
      <c r="F11">
        <f>MAX(0,F10+$B$9*($B$5*F10-$B$6*F10*G10))</f>
        <v>127.464660662271</v>
      </c>
      <c r="G11">
        <f t="shared" si="1"/>
        <v>43.3921129854194</v>
      </c>
    </row>
    <row r="12" spans="5:7">
      <c r="E12">
        <f t="shared" si="0"/>
        <v>4</v>
      </c>
      <c r="F12">
        <f>MAX(0,F11+$B$9*($B$5*F11-$B$6*F11*G11))</f>
        <v>128.30693273828</v>
      </c>
      <c r="G12">
        <f t="shared" si="1"/>
        <v>43.9879878147011</v>
      </c>
    </row>
    <row r="13" spans="5:7">
      <c r="E13">
        <f t="shared" si="0"/>
        <v>4.5</v>
      </c>
      <c r="F13">
        <f>MAX(0,F12+$B$9*($B$5*F12-$B$6*F12*G12))</f>
        <v>129.07831558136</v>
      </c>
      <c r="G13">
        <f t="shared" si="1"/>
        <v>44.6105703208827</v>
      </c>
    </row>
    <row r="14" spans="5:7">
      <c r="E14">
        <f t="shared" si="0"/>
        <v>5</v>
      </c>
      <c r="F14">
        <f>MAX(0,F13+$B$9*($B$5*F13-$B$6*F13*G13))</f>
        <v>129.773974086285</v>
      </c>
      <c r="G14">
        <f t="shared" si="1"/>
        <v>45.2591704419102</v>
      </c>
    </row>
    <row r="15" spans="5:7">
      <c r="E15">
        <f t="shared" si="0"/>
        <v>5.5</v>
      </c>
      <c r="F15">
        <f>MAX(0,F14+$B$9*($B$5*F14-$B$6*F14*G14))</f>
        <v>130.389210378504</v>
      </c>
      <c r="G15">
        <f t="shared" si="1"/>
        <v>45.9329431258623</v>
      </c>
    </row>
    <row r="16" spans="5:7">
      <c r="E16">
        <f t="shared" si="0"/>
        <v>6</v>
      </c>
      <c r="F16">
        <f>MAX(0,F15+$B$9*($B$5*F15-$B$6*F15*G15))</f>
        <v>130.919510712887</v>
      </c>
      <c r="G16">
        <f t="shared" si="1"/>
        <v>46.6308760618401</v>
      </c>
    </row>
    <row r="17" spans="5:7">
      <c r="E17">
        <f t="shared" si="0"/>
        <v>6.5</v>
      </c>
      <c r="F17">
        <f>MAX(0,F16+$B$9*($B$5*F16-$B$6*F16*G16))</f>
        <v>131.360594770402</v>
      </c>
      <c r="G17">
        <f t="shared" si="1"/>
        <v>47.3517779978128</v>
      </c>
    </row>
    <row r="18" spans="5:7">
      <c r="E18">
        <f t="shared" si="0"/>
        <v>7</v>
      </c>
      <c r="F18">
        <f>MAX(0,F17+$B$9*($B$5*F17-$B$6*F17*G17))</f>
        <v>131.708466787694</v>
      </c>
      <c r="G18">
        <f t="shared" si="1"/>
        <v>48.0942679585366</v>
      </c>
    </row>
    <row r="19" spans="5:7">
      <c r="E19">
        <f t="shared" si="0"/>
        <v>7.5</v>
      </c>
      <c r="F19">
        <f>MAX(0,F18+$B$9*($B$5*F18-$B$6*F18*G18))</f>
        <v>131.959467832983</v>
      </c>
      <c r="G19">
        <f t="shared" si="1"/>
        <v>48.8567657076574</v>
      </c>
    </row>
    <row r="20" spans="5:7">
      <c r="E20">
        <f t="shared" si="0"/>
        <v>8</v>
      </c>
      <c r="F20">
        <f>MAX(0,F19+$B$9*($B$5*F19-$B$6*F19*G19))</f>
        <v>132.110328421809</v>
      </c>
      <c r="G20">
        <f t="shared" si="1"/>
        <v>49.6374838236861</v>
      </c>
    </row>
    <row r="21" spans="5:7">
      <c r="E21">
        <f t="shared" si="0"/>
        <v>8.5</v>
      </c>
      <c r="F21">
        <f>MAX(0,F20+$B$9*($B$5*F20-$B$6*F20*G20))</f>
        <v>132.15822055292</v>
      </c>
      <c r="G21">
        <f t="shared" si="1"/>
        <v>50.4344217774915</v>
      </c>
    </row>
    <row r="22" spans="5:7">
      <c r="E22">
        <f t="shared" si="0"/>
        <v>9</v>
      </c>
      <c r="F22">
        <f>MAX(0,F21+$B$9*($B$5*F21-$B$6*F21*G21))</f>
        <v>132.100808143837</v>
      </c>
      <c r="G22">
        <f t="shared" si="1"/>
        <v>51.2453624069813</v>
      </c>
    </row>
    <row r="23" spans="5:7">
      <c r="E23">
        <f t="shared" si="0"/>
        <v>9.5</v>
      </c>
      <c r="F23">
        <f>MAX(0,F22+$B$9*($B$5*F22-$B$6*F22*G22))</f>
        <v>131.936294763443</v>
      </c>
      <c r="G23">
        <f t="shared" si="1"/>
        <v>52.0678711804253</v>
      </c>
    </row>
    <row r="24" spans="5:7">
      <c r="E24">
        <f t="shared" si="0"/>
        <v>10</v>
      </c>
      <c r="F24">
        <f>MAX(0,F23+$B$9*($B$5*F23-$B$6*F23*G23))</f>
        <v>131.66346750185</v>
      </c>
      <c r="G24">
        <f t="shared" si="1"/>
        <v>52.8992986212868</v>
      </c>
    </row>
    <row r="25" spans="5:7">
      <c r="E25">
        <f t="shared" si="0"/>
        <v>10.5</v>
      </c>
      <c r="F25">
        <f>MAX(0,F24+$B$9*($B$5*F24-$B$6*F24*G24))</f>
        <v>131.281735792048</v>
      </c>
      <c r="G25">
        <f t="shared" si="1"/>
        <v>53.7367862326697</v>
      </c>
    </row>
    <row r="26" spans="5:7">
      <c r="E26">
        <f t="shared" si="0"/>
        <v>11</v>
      </c>
      <c r="F26">
        <f>MAX(0,F25+$B$9*($B$5*F25-$B$6*F25*G25))</f>
        <v>130.791164009139</v>
      </c>
      <c r="G26">
        <f t="shared" si="1"/>
        <v>54.5772762072917</v>
      </c>
    </row>
    <row r="27" spans="5:7">
      <c r="E27">
        <f t="shared" si="0"/>
        <v>11.5</v>
      </c>
      <c r="F27">
        <f>MAX(0,F26+$B$9*($B$5*F26-$B$6*F26*G26))</f>
        <v>130.192496725996</v>
      </c>
      <c r="G27">
        <f t="shared" si="1"/>
        <v>55.4175251387271</v>
      </c>
    </row>
    <row r="28" spans="5:7">
      <c r="E28">
        <f t="shared" si="0"/>
        <v>12</v>
      </c>
      <c r="F28">
        <f>MAX(0,F27+$B$9*($B$5*F27-$B$6*F27*G27))</f>
        <v>129.487175602109</v>
      </c>
      <c r="G28">
        <f t="shared" si="1"/>
        <v>56.2541218618841</v>
      </c>
    </row>
    <row r="29" spans="5:7">
      <c r="E29">
        <f t="shared" si="0"/>
        <v>12.5</v>
      </c>
      <c r="F29">
        <f>MAX(0,F28+$B$9*($B$5*F28-$B$6*F28*G28))</f>
        <v>128.677347026343</v>
      </c>
      <c r="G29">
        <f t="shared" si="1"/>
        <v>57.083509446726</v>
      </c>
    </row>
    <row r="30" spans="5:7">
      <c r="E30">
        <f t="shared" si="0"/>
        <v>13</v>
      </c>
      <c r="F30">
        <f>MAX(0,F29+$B$9*($B$5*F29-$B$6*F29*G29))</f>
        <v>127.765859823102</v>
      </c>
      <c r="G30">
        <f t="shared" si="1"/>
        <v>57.9020112516686</v>
      </c>
    </row>
    <row r="31" spans="5:7">
      <c r="E31">
        <f t="shared" si="0"/>
        <v>13.5</v>
      </c>
      <c r="F31">
        <f>MAX(0,F30+$B$9*($B$5*F30-$B$6*F30*G30))</f>
        <v>126.756252561201</v>
      </c>
      <c r="G31">
        <f t="shared" si="1"/>
        <v>58.7058608156133</v>
      </c>
    </row>
    <row r="32" spans="5:7">
      <c r="E32">
        <f t="shared" si="0"/>
        <v>14</v>
      </c>
      <c r="F32">
        <f>MAX(0,F31+$B$9*($B$5*F31-$B$6*F31*G31))</f>
        <v>125.652730268894</v>
      </c>
      <c r="G32">
        <f t="shared" si="1"/>
        <v>59.491235235016</v>
      </c>
    </row>
    <row r="33" spans="5:7">
      <c r="E33">
        <f t="shared" si="0"/>
        <v>14.5</v>
      </c>
      <c r="F33">
        <f>MAX(0,F32+$B$9*($B$5*F32-$B$6*F32*G32))</f>
        <v>124.46013064799</v>
      </c>
      <c r="G33">
        <f t="shared" si="1"/>
        <v>60.2542915404395</v>
      </c>
    </row>
    <row r="34" spans="5:7">
      <c r="E34">
        <f t="shared" si="0"/>
        <v>15</v>
      </c>
      <c r="F34">
        <f>MAX(0,F33+$B$9*($B$5*F33-$B$6*F33*G33))</f>
        <v>123.183880183164</v>
      </c>
      <c r="G34">
        <f t="shared" si="1"/>
        <v>60.9912054620302</v>
      </c>
    </row>
    <row r="35" spans="5:7">
      <c r="E35">
        <f t="shared" si="0"/>
        <v>15.5</v>
      </c>
      <c r="F35">
        <f>MAX(0,F34+$B$9*($B$5*F34-$B$6*F34*G34))</f>
        <v>121.829940846461</v>
      </c>
      <c r="G35">
        <f t="shared" si="1"/>
        <v>61.6982118618594</v>
      </c>
    </row>
    <row r="36" spans="5:7">
      <c r="E36">
        <f t="shared" si="0"/>
        <v>16</v>
      </c>
      <c r="F36">
        <f>MAX(0,F35+$B$9*($B$5*F35-$B$6*F35*G35))</f>
        <v>120.404748387321</v>
      </c>
      <c r="G36">
        <f t="shared" si="1"/>
        <v>62.3716460194978</v>
      </c>
    </row>
    <row r="37" spans="5:7">
      <c r="E37">
        <f t="shared" si="0"/>
        <v>16.5</v>
      </c>
      <c r="F37">
        <f>MAX(0,F36+$B$9*($B$5*F36-$B$6*F36*G36))</f>
        <v>118.915143461207</v>
      </c>
      <c r="G37">
        <f t="shared" si="1"/>
        <v>63.0079848912632</v>
      </c>
    </row>
    <row r="38" spans="5:7">
      <c r="E38">
        <f t="shared" si="0"/>
        <v>17</v>
      </c>
      <c r="F38">
        <f>MAX(0,F37+$B$9*($B$5*F37-$B$6*F37*G37))</f>
        <v>117.368297071721</v>
      </c>
      <c r="G38">
        <f t="shared" si="1"/>
        <v>63.6038874279731</v>
      </c>
    </row>
    <row r="39" spans="5:7">
      <c r="E39">
        <f t="shared" si="0"/>
        <v>17.5</v>
      </c>
      <c r="F39">
        <f>MAX(0,F38+$B$9*($B$5*F38-$B$6*F38*G38))</f>
        <v>115.771631970744</v>
      </c>
      <c r="G39">
        <f t="shared" si="1"/>
        <v>64.1562330338558</v>
      </c>
    </row>
    <row r="40" spans="5:7">
      <c r="E40">
        <f t="shared" si="0"/>
        <v>18</v>
      </c>
      <c r="F40">
        <f>MAX(0,F39+$B$9*($B$5*F39-$B$6*F39*G39))</f>
        <v>114.132741769857</v>
      </c>
      <c r="G40">
        <f t="shared" si="1"/>
        <v>64.6621572818754</v>
      </c>
    </row>
    <row r="41" spans="5:7">
      <c r="E41">
        <f t="shared" si="0"/>
        <v>18.5</v>
      </c>
      <c r="F41">
        <f>MAX(0,F40+$B$9*($B$5*F40-$B$6*F40*G40))</f>
        <v>112.459309559015</v>
      </c>
      <c r="G41">
        <f t="shared" si="1"/>
        <v>65.1190840674487</v>
      </c>
    </row>
    <row r="42" spans="5:7">
      <c r="E42">
        <f t="shared" si="0"/>
        <v>19</v>
      </c>
      <c r="F42">
        <f>MAX(0,F41+$B$9*($B$5*F41-$B$6*F41*G41))</f>
        <v>110.759027803625</v>
      </c>
      <c r="G42">
        <f t="shared" si="1"/>
        <v>65.5247534807467</v>
      </c>
    </row>
    <row r="43" spans="5:7">
      <c r="E43">
        <f t="shared" si="0"/>
        <v>19.5</v>
      </c>
      <c r="F43">
        <f>MAX(0,F42+$B$9*($B$5*F42-$B$6*F42*G42))</f>
        <v>109.039521201207</v>
      </c>
      <c r="G43">
        <f t="shared" si="1"/>
        <v>65.8772448030092</v>
      </c>
    </row>
    <row r="44" spans="5:7">
      <c r="E44">
        <f t="shared" si="0"/>
        <v>20</v>
      </c>
      <c r="F44">
        <f>MAX(0,F43+$B$9*($B$5*F43-$B$6*F43*G43))</f>
        <v>107.308274029892</v>
      </c>
      <c r="G44">
        <f t="shared" si="1"/>
        <v>66.1749941785462</v>
      </c>
    </row>
    <row r="45" spans="5:7">
      <c r="E45">
        <f t="shared" si="0"/>
        <v>20.5</v>
      </c>
      <c r="F45">
        <f>MAX(0,F44+$B$9*($B$5*F44-$B$6*F44*G44))</f>
        <v>105.572563322149</v>
      </c>
      <c r="G45">
        <f t="shared" si="1"/>
        <v>66.4168066742378</v>
      </c>
    </row>
    <row r="46" spans="5:7">
      <c r="E46">
        <f t="shared" si="0"/>
        <v>21</v>
      </c>
      <c r="F46">
        <f>MAX(0,F45+$B$9*($B$5*F45-$B$6*F45*G45))</f>
        <v>103.839398959986</v>
      </c>
      <c r="G46">
        <f t="shared" si="1"/>
        <v>66.6018626046614</v>
      </c>
    </row>
    <row r="47" spans="5:7">
      <c r="E47">
        <f t="shared" si="0"/>
        <v>21.5</v>
      </c>
      <c r="F47">
        <f>MAX(0,F46+$B$9*($B$5*F46-$B$6*F46*G46))</f>
        <v>102.115471525501</v>
      </c>
      <c r="G47">
        <f t="shared" si="1"/>
        <v>66.7297181656701</v>
      </c>
    </row>
    <row r="48" spans="5:7">
      <c r="E48">
        <f t="shared" si="0"/>
        <v>22</v>
      </c>
      <c r="F48">
        <f>MAX(0,F47+$B$9*($B$5*F47-$B$6*F47*G47))</f>
        <v>100.407108466525</v>
      </c>
      <c r="G48">
        <f t="shared" si="1"/>
        <v>66.8003005750122</v>
      </c>
    </row>
    <row r="49" spans="5:7">
      <c r="E49">
        <f t="shared" si="0"/>
        <v>22.5</v>
      </c>
      <c r="F49">
        <f>MAX(0,F48+$B$9*($B$5*F48-$B$6*F48*G48))</f>
        <v>98.7202388644196</v>
      </c>
      <c r="G49">
        <f t="shared" si="1"/>
        <v>66.8138980589775</v>
      </c>
    </row>
    <row r="50" spans="5:7">
      <c r="E50">
        <f t="shared" si="0"/>
        <v>23</v>
      </c>
      <c r="F50">
        <f>MAX(0,F49+$B$9*($B$5*F49-$B$6*F49*G49))</f>
        <v>97.0603668317954</v>
      </c>
      <c r="G50">
        <f t="shared" si="1"/>
        <v>66.7711451439512</v>
      </c>
    </row>
    <row r="51" spans="5:7">
      <c r="E51">
        <f t="shared" si="0"/>
        <v>23.5</v>
      </c>
      <c r="F51">
        <f>MAX(0,F50+$B$9*($B$5*F50-$B$6*F50*G50))</f>
        <v>95.4325533319342</v>
      </c>
      <c r="G51">
        <f t="shared" si="1"/>
        <v>66.6730038074791</v>
      </c>
    </row>
    <row r="52" spans="5:7">
      <c r="E52">
        <f t="shared" si="0"/>
        <v>24</v>
      </c>
      <c r="F52">
        <f>MAX(0,F51+$B$9*($B$5*F51-$B$6*F51*G51))</f>
        <v>93.8414060068734</v>
      </c>
      <c r="G52">
        <f t="shared" si="1"/>
        <v>66.5207411129339</v>
      </c>
    </row>
    <row r="53" spans="5:7">
      <c r="E53">
        <f t="shared" si="0"/>
        <v>24.5</v>
      </c>
      <c r="F53">
        <f>MAX(0,F52+$B$9*($B$5*F52-$B$6*F52*G52))</f>
        <v>92.2910764325601</v>
      </c>
      <c r="G53">
        <f t="shared" si="1"/>
        <v>66.3159039946157</v>
      </c>
    </row>
    <row r="54" spans="5:7">
      <c r="E54">
        <f t="shared" si="0"/>
        <v>25</v>
      </c>
      <c r="F54">
        <f>MAX(0,F53+$B$9*($B$5*F53-$B$6*F53*G53))</f>
        <v>90.7852640899267</v>
      </c>
      <c r="G54">
        <f t="shared" si="1"/>
        <v>66.0602918770156</v>
      </c>
    </row>
    <row r="55" spans="5:7">
      <c r="E55">
        <f t="shared" si="0"/>
        <v>25.5</v>
      </c>
      <c r="F55">
        <f>MAX(0,F54+$B$9*($B$5*F54-$B$6*F54*G54))</f>
        <v>89.3272262505106</v>
      </c>
      <c r="G55">
        <f t="shared" si="1"/>
        <v>65.7559278051211</v>
      </c>
    </row>
    <row r="56" spans="5:7">
      <c r="E56">
        <f t="shared" si="0"/>
        <v>26</v>
      </c>
      <c r="F56">
        <f>MAX(0,F55+$B$9*($B$5*F55-$B$6*F55*G55))</f>
        <v>87.9197929226758</v>
      </c>
      <c r="G56">
        <f t="shared" si="1"/>
        <v>65.4050287350452</v>
      </c>
    </row>
    <row r="57" spans="5:7">
      <c r="E57">
        <f t="shared" si="0"/>
        <v>26.5</v>
      </c>
      <c r="F57">
        <f>MAX(0,F56+$B$9*($B$5*F56-$B$6*F56*G56))</f>
        <v>86.5653859863228</v>
      </c>
      <c r="G57">
        <f t="shared" si="1"/>
        <v>65.0099755895363</v>
      </c>
    </row>
    <row r="58" spans="5:7">
      <c r="E58">
        <f t="shared" si="0"/>
        <v>27</v>
      </c>
      <c r="F58">
        <f>MAX(0,F57+$B$9*($B$5*F57-$B$6*F57*G57))</f>
        <v>85.2660416557693</v>
      </c>
      <c r="G58">
        <f t="shared" si="1"/>
        <v>64.5732836249943</v>
      </c>
    </row>
    <row r="59" spans="5:7">
      <c r="E59">
        <f t="shared" si="0"/>
        <v>27.5</v>
      </c>
      <c r="F59">
        <f>MAX(0,F58+$B$9*($B$5*F58-$B$6*F58*G58))</f>
        <v>84.0234354471392</v>
      </c>
      <c r="G59">
        <f t="shared" si="1"/>
        <v>64.0975735894539</v>
      </c>
    </row>
    <row r="60" spans="5:7">
      <c r="E60">
        <f t="shared" si="0"/>
        <v>28</v>
      </c>
      <c r="F60">
        <f>MAX(0,F59+$B$9*($B$5*F59-$B$6*F59*G59))</f>
        <v>82.8389088826844</v>
      </c>
      <c r="G60">
        <f t="shared" si="1"/>
        <v>63.5855440783871</v>
      </c>
    </row>
    <row r="61" spans="5:7">
      <c r="E61">
        <f t="shared" si="0"/>
        <v>28.5</v>
      </c>
      <c r="F61">
        <f>MAX(0,F60+$B$9*($B$5*F60-$B$6*F60*G60))</f>
        <v>81.7134972346532</v>
      </c>
      <c r="G61">
        <f t="shared" si="1"/>
        <v>63.0399454205504</v>
      </c>
    </row>
    <row r="62" spans="5:7">
      <c r="E62">
        <f t="shared" si="0"/>
        <v>29</v>
      </c>
      <c r="F62">
        <f>MAX(0,F61+$B$9*($B$5*F61-$B$6*F61*G61))</f>
        <v>80.647957690591</v>
      </c>
      <c r="G62">
        <f t="shared" si="1"/>
        <v>62.4635553524203</v>
      </c>
    </row>
    <row r="63" spans="5:7">
      <c r="E63">
        <f t="shared" si="0"/>
        <v>29.5</v>
      </c>
      <c r="F63">
        <f>MAX(0,F62+$B$9*($B$5*F62-$B$6*F62*G62))</f>
        <v>79.6427974058547</v>
      </c>
      <c r="G63">
        <f t="shared" si="1"/>
        <v>61.8591566694323</v>
      </c>
    </row>
    <row r="64" spans="5:7">
      <c r="E64">
        <f t="shared" si="0"/>
        <v>30</v>
      </c>
      <c r="F64">
        <f>MAX(0,F63+$B$9*($B$5*F63-$B$6*F63*G63))</f>
        <v>78.6983009938268</v>
      </c>
      <c r="G64">
        <f t="shared" si="1"/>
        <v>61.229516977121</v>
      </c>
    </row>
    <row r="65" spans="5:7">
      <c r="E65">
        <f t="shared" si="0"/>
        <v>30.5</v>
      </c>
      <c r="F65">
        <f>MAX(0,F64+$B$9*($B$5*F64-$B$6*F64*G64))</f>
        <v>77.814557086746</v>
      </c>
      <c r="G65">
        <f t="shared" si="1"/>
        <v>60.577370606651</v>
      </c>
    </row>
    <row r="66" spans="5:7">
      <c r="E66">
        <f t="shared" si="0"/>
        <v>31</v>
      </c>
      <c r="F66">
        <f>MAX(0,F65+$B$9*($B$5*F65-$B$6*F65*G65))</f>
        <v>76.9914836778471</v>
      </c>
      <c r="G66">
        <f t="shared" si="1"/>
        <v>59.9054027079365</v>
      </c>
    </row>
    <row r="67" spans="5:7">
      <c r="E67">
        <f t="shared" si="0"/>
        <v>31.5</v>
      </c>
      <c r="F67">
        <f>MAX(0,F66+$B$9*($B$5*F66-$B$6*F66*G66))</f>
        <v>76.2288520269365</v>
      </c>
      <c r="G67">
        <f t="shared" si="1"/>
        <v>59.2162354899412</v>
      </c>
    </row>
    <row r="68" spans="5:7">
      <c r="E68">
        <f t="shared" si="0"/>
        <v>32</v>
      </c>
      <c r="F68">
        <f>MAX(0,F67+$B$9*($B$5*F67-$B$6*F67*G67))</f>
        <v>75.5263089755284</v>
      </c>
      <c r="G68">
        <f t="shared" si="1"/>
        <v>58.5124165418216</v>
      </c>
    </row>
    <row r="69" spans="5:7">
      <c r="E69">
        <f t="shared" ref="E69:E132" si="2">E68+$B$9</f>
        <v>32.5</v>
      </c>
      <c r="F69">
        <f>MAX(0,F68+$B$9*($B$5*F68-$B$6*F68*G68))</f>
        <v>74.8833975736624</v>
      </c>
      <c r="G69">
        <f t="shared" ref="G69:G132" si="3">MAX(0,G68+$B$9*(-$B$7*G68+$B$8*F68*G68))</f>
        <v>57.7964091400517</v>
      </c>
    </row>
    <row r="70" spans="5:7">
      <c r="E70">
        <f t="shared" si="2"/>
        <v>33</v>
      </c>
      <c r="F70">
        <f>MAX(0,F69+$B$9*($B$5*F69-$B$6*F69*G69))</f>
        <v>74.299575968381</v>
      </c>
      <c r="G70">
        <f t="shared" si="3"/>
        <v>57.0705844250314</v>
      </c>
    </row>
    <row r="71" spans="5:7">
      <c r="E71">
        <f t="shared" si="2"/>
        <v>33.5</v>
      </c>
      <c r="F71">
        <f>MAX(0,F70+$B$9*($B$5*F70-$B$6*F70*G70))</f>
        <v>73.7742345437525</v>
      </c>
      <c r="G71">
        <f t="shared" si="3"/>
        <v>56.3372153153036</v>
      </c>
    </row>
    <row r="72" spans="5:7">
      <c r="E72">
        <f t="shared" si="2"/>
        <v>34</v>
      </c>
      <c r="F72">
        <f>MAX(0,F71+$B$9*($B$5*F71-$B$6*F71*G71))</f>
        <v>73.306711334727</v>
      </c>
      <c r="G72">
        <f t="shared" si="3"/>
        <v>55.598472017645</v>
      </c>
    </row>
    <row r="73" spans="5:7">
      <c r="E73">
        <f t="shared" si="2"/>
        <v>34.5</v>
      </c>
      <c r="F73">
        <f>MAX(0,F72+$B$9*($B$5*F72-$B$6*F72*G72))</f>
        <v>72.896305762614</v>
      </c>
      <c r="G73">
        <f t="shared" si="3"/>
        <v>54.8564189861874</v>
      </c>
    </row>
    <row r="74" spans="5:7">
      <c r="E74">
        <f t="shared" si="2"/>
        <v>35</v>
      </c>
      <c r="F74">
        <f>MAX(0,F73+$B$9*($B$5*F73-$B$6*F73*G73))</f>
        <v>72.5422907592855</v>
      </c>
      <c r="G74">
        <f t="shared" si="3"/>
        <v>54.1130131826076</v>
      </c>
    </row>
    <row r="75" spans="5:7">
      <c r="E75">
        <f t="shared" si="2"/>
        <v>35.5</v>
      </c>
      <c r="F75">
        <f>MAX(0,F74+$B$9*($B$5*F74-$B$6*F74*G74))</f>
        <v>72.243923361096</v>
      </c>
      <c r="G75">
        <f t="shared" si="3"/>
        <v>53.3701034915541</v>
      </c>
    </row>
    <row r="76" spans="5:7">
      <c r="E76">
        <f t="shared" si="2"/>
        <v>36</v>
      </c>
      <c r="F76">
        <f>MAX(0,F75+$B$9*($B$5*F75-$B$6*F75*G75))</f>
        <v>72.0004538627332</v>
      </c>
      <c r="G76">
        <f t="shared" si="3"/>
        <v>52.6294311501852</v>
      </c>
    </row>
    <row r="77" spans="5:7">
      <c r="E77">
        <f t="shared" si="2"/>
        <v>36.5</v>
      </c>
      <c r="F77">
        <f>MAX(0,F76+$B$9*($B$5*F76-$B$6*F76*G76))</f>
        <v>71.8111336265191</v>
      </c>
      <c r="G77">
        <f t="shared" si="3"/>
        <v>51.8926310573514</v>
      </c>
    </row>
    <row r="78" spans="5:7">
      <c r="E78">
        <f t="shared" si="2"/>
        <v>37</v>
      </c>
      <c r="F78">
        <f>MAX(0,F77+$B$9*($B$5*F77-$B$6*F77*G77))</f>
        <v>71.6752216447539</v>
      </c>
      <c r="G78">
        <f t="shared" si="3"/>
        <v>51.1612338360294</v>
      </c>
    </row>
    <row r="79" spans="5:7">
      <c r="E79">
        <f t="shared" si="2"/>
        <v>37.5</v>
      </c>
      <c r="F79">
        <f>MAX(0,F78+$B$9*($B$5*F78-$B$6*F78*G78))</f>
        <v>71.5919899521751</v>
      </c>
      <c r="G79">
        <f t="shared" si="3"/>
        <v>50.4366685316361</v>
      </c>
    </row>
    <row r="80" spans="5:7">
      <c r="E80">
        <f t="shared" si="2"/>
        <v>38</v>
      </c>
      <c r="F80">
        <f>MAX(0,F79+$B$9*($B$5*F79-$B$6*F79*G79))</f>
        <v>71.5607279830458</v>
      </c>
      <c r="G80">
        <f t="shared" si="3"/>
        <v>49.7202658384234</v>
      </c>
    </row>
    <row r="81" spans="5:7">
      <c r="E81">
        <f t="shared" si="2"/>
        <v>38.5</v>
      </c>
      <c r="F81">
        <f>MAX(0,F80+$B$9*($B$5*F80-$B$6*F80*G80))</f>
        <v>71.5807459632899</v>
      </c>
      <c r="G81">
        <f t="shared" si="3"/>
        <v>49.0132617559563</v>
      </c>
    </row>
    <row r="82" spans="5:7">
      <c r="E82">
        <f t="shared" si="2"/>
        <v>39</v>
      </c>
      <c r="F82">
        <f>MAX(0,F81+$B$9*($B$5*F81-$B$6*F81*G81))</f>
        <v>71.6513774228691</v>
      </c>
      <c r="G82">
        <f t="shared" si="3"/>
        <v>48.3168015874511</v>
      </c>
    </row>
    <row r="83" spans="5:7">
      <c r="E83">
        <f t="shared" si="2"/>
        <v>39.5</v>
      </c>
      <c r="F83">
        <f>MAX(0,F82+$B$9*($B$5*F82-$B$6*F82*G82))</f>
        <v>71.7719809076042</v>
      </c>
      <c r="G83">
        <f t="shared" si="3"/>
        <v>47.6319442012827</v>
      </c>
    </row>
    <row r="84" spans="5:7">
      <c r="E84">
        <f t="shared" si="2"/>
        <v>40</v>
      </c>
      <c r="F84">
        <f>MAX(0,F83+$B$9*($B$5*F83-$B$6*F83*G83))</f>
        <v>71.9419409631779</v>
      </c>
      <c r="G84">
        <f t="shared" si="3"/>
        <v>46.9596664861219</v>
      </c>
    </row>
    <row r="85" spans="5:7">
      <c r="E85">
        <f t="shared" si="2"/>
        <v>40.5</v>
      </c>
      <c r="F85">
        <f>MAX(0,F84+$B$9*($B$5*F84-$B$6*F84*G84))</f>
        <v>72.1606684573417</v>
      </c>
      <c r="G85">
        <f t="shared" si="3"/>
        <v>46.3008679388133</v>
      </c>
    </row>
    <row r="86" spans="5:7">
      <c r="E86">
        <f t="shared" si="2"/>
        <v>41</v>
      </c>
      <c r="F86">
        <f>MAX(0,F85+$B$9*($B$5*F85-$B$6*F85*G85))</f>
        <v>72.4276002995889</v>
      </c>
      <c r="G86">
        <f t="shared" si="3"/>
        <v>45.6563753321826</v>
      </c>
    </row>
    <row r="87" spans="5:7">
      <c r="E87">
        <f t="shared" si="2"/>
        <v>41.5</v>
      </c>
      <c r="F87">
        <f>MAX(0,F86+$B$9*($B$5*F86-$B$6*F86*G86))</f>
        <v>72.742198610881</v>
      </c>
      <c r="G87">
        <f t="shared" si="3"/>
        <v>45.0269474174171</v>
      </c>
    </row>
    <row r="88" spans="5:7">
      <c r="E88">
        <f t="shared" si="2"/>
        <v>42</v>
      </c>
      <c r="F88">
        <f>MAX(0,F87+$B$9*($B$5*F87-$B$6*F87*G87))</f>
        <v>73.1039493895456</v>
      </c>
      <c r="G88">
        <f t="shared" si="3"/>
        <v>44.413279622486</v>
      </c>
    </row>
    <row r="89" spans="5:7">
      <c r="E89">
        <f t="shared" si="2"/>
        <v>42.5</v>
      </c>
      <c r="F89">
        <f>MAX(0,F88+$B$9*($B$5*F88-$B$6*F88*G88))</f>
        <v>73.5123607132769</v>
      </c>
      <c r="G89">
        <f t="shared" si="3"/>
        <v>43.8160087142347</v>
      </c>
    </row>
    <row r="90" spans="5:7">
      <c r="E90">
        <f t="shared" si="2"/>
        <v>43</v>
      </c>
      <c r="F90">
        <f>MAX(0,F89+$B$9*($B$5*F89-$B$6*F89*G89))</f>
        <v>73.9669605113239</v>
      </c>
      <c r="G90">
        <f t="shared" si="3"/>
        <v>43.2357173973314</v>
      </c>
    </row>
    <row r="91" spans="5:7">
      <c r="E91">
        <f t="shared" si="2"/>
        <v>43.5</v>
      </c>
      <c r="F91">
        <f>MAX(0,F90+$B$9*($B$5*F90-$B$6*F90*G90))</f>
        <v>74.4672939354829</v>
      </c>
      <c r="G91">
        <f t="shared" si="3"/>
        <v>42.6729388281684</v>
      </c>
    </row>
    <row r="92" spans="5:7">
      <c r="E92">
        <f t="shared" si="2"/>
        <v>44</v>
      </c>
      <c r="F92">
        <f>MAX(0,F91+$B$9*($B$5*F91-$B$6*F91*G91))</f>
        <v>75.0129203534489</v>
      </c>
      <c r="G92">
        <f t="shared" si="3"/>
        <v>42.128161026164</v>
      </c>
    </row>
    <row r="93" spans="5:7">
      <c r="E93">
        <f t="shared" si="2"/>
        <v>44.5</v>
      </c>
      <c r="F93">
        <f>MAX(0,F92+$B$9*($B$5*F92-$B$6*F92*G92))</f>
        <v>75.6034099834285</v>
      </c>
      <c r="G93">
        <f t="shared" si="3"/>
        <v>41.6018311687023</v>
      </c>
    </row>
    <row r="94" spans="5:7">
      <c r="E94">
        <f t="shared" si="2"/>
        <v>45</v>
      </c>
      <c r="F94">
        <f>MAX(0,F93+$B$9*($B$5*F93-$B$6*F93*G93))</f>
        <v>76.2383401846911</v>
      </c>
      <c r="G94">
        <f t="shared" si="3"/>
        <v>41.0943597592216</v>
      </c>
    </row>
    <row r="95" spans="5:7">
      <c r="E95">
        <f t="shared" si="2"/>
        <v>45.5</v>
      </c>
      <c r="F95">
        <f>MAX(0,F94+$B$9*($B$5*F94-$B$6*F94*G94))</f>
        <v>76.9172914149301</v>
      </c>
      <c r="G95">
        <f t="shared" si="3"/>
        <v>40.6061246607583</v>
      </c>
    </row>
    <row r="96" spans="5:7">
      <c r="E96">
        <f t="shared" si="2"/>
        <v>46</v>
      </c>
      <c r="F96">
        <f>MAX(0,F95+$B$9*($B$5*F95-$B$6*F95*G95))</f>
        <v>77.639842861914</v>
      </c>
      <c r="G96">
        <f t="shared" si="3"/>
        <v>40.1374749896016</v>
      </c>
    </row>
    <row r="97" spans="5:7">
      <c r="E97">
        <f t="shared" si="2"/>
        <v>46.5</v>
      </c>
      <c r="F97">
        <f>MAX(0,F96+$B$9*($B$5*F96-$B$6*F96*G96))</f>
        <v>78.4055677539431</v>
      </c>
      <c r="G97">
        <f t="shared" si="3"/>
        <v>39.6887348656549</v>
      </c>
    </row>
    <row r="98" spans="5:7">
      <c r="E98">
        <f t="shared" si="2"/>
        <v>47</v>
      </c>
      <c r="F98">
        <f>MAX(0,F97+$B$9*($B$5*F97-$B$6*F97*G97))</f>
        <v>79.2140283510628</v>
      </c>
      <c r="G98">
        <f t="shared" si="3"/>
        <v>39.2602070176608</v>
      </c>
    </row>
    <row r="99" spans="5:7">
      <c r="E99">
        <f t="shared" si="2"/>
        <v>47.5</v>
      </c>
      <c r="F99">
        <f>MAX(0,F98+$B$9*($B$5*F98-$B$6*F98*G98))</f>
        <v>80.0647706168504</v>
      </c>
      <c r="G99">
        <f t="shared" si="3"/>
        <v>38.8521762426606</v>
      </c>
    </row>
    <row r="100" spans="5:7">
      <c r="E100">
        <f t="shared" si="2"/>
        <v>48</v>
      </c>
      <c r="F100">
        <f>MAX(0,F99+$B$9*($B$5*F99-$B$6*F99*G99))</f>
        <v>80.9573185688589</v>
      </c>
      <c r="G100">
        <f t="shared" si="3"/>
        <v>38.4649127199446</v>
      </c>
    </row>
    <row r="101" spans="5:7">
      <c r="E101">
        <f t="shared" si="2"/>
        <v>48.5</v>
      </c>
      <c r="F101">
        <f>MAX(0,F100+$B$9*($B$5*F100-$B$6*F100*G100))</f>
        <v>81.8911683045099</v>
      </c>
      <c r="G101">
        <f t="shared" si="3"/>
        <v>38.0986751803433</v>
      </c>
    </row>
    <row r="102" spans="5:7">
      <c r="E102">
        <f t="shared" si="2"/>
        <v>49</v>
      </c>
      <c r="F102">
        <f>MAX(0,F101+$B$9*($B$5*F101-$B$6*F101*G101))</f>
        <v>82.865781698363</v>
      </c>
      <c r="G102">
        <f t="shared" si="3"/>
        <v>37.7537139320123</v>
      </c>
    </row>
    <row r="103" spans="5:7">
      <c r="E103">
        <f t="shared" si="2"/>
        <v>49.5</v>
      </c>
      <c r="F103">
        <f>MAX(0,F102+$B$9*($B$5*F102-$B$6*F102*G102))</f>
        <v>83.8805797662886</v>
      </c>
      <c r="G103">
        <f t="shared" si="3"/>
        <v>37.430273743908</v>
      </c>
    </row>
    <row r="104" spans="5:7">
      <c r="E104">
        <f t="shared" si="2"/>
        <v>50</v>
      </c>
      <c r="F104">
        <f>MAX(0,F103+$B$9*($B$5*F103-$B$6*F103*G103))</f>
        <v>84.9349356921531</v>
      </c>
      <c r="G104">
        <f t="shared" si="3"/>
        <v>37.1285965879375</v>
      </c>
    </row>
    <row r="105" spans="5:7">
      <c r="E105">
        <f t="shared" si="2"/>
        <v>50.5</v>
      </c>
      <c r="F105">
        <f>MAX(0,F104+$B$9*($B$5*F104-$B$6*F104*G104))</f>
        <v>86.0281675132244</v>
      </c>
      <c r="G105">
        <f t="shared" si="3"/>
        <v>36.8489242403088</v>
      </c>
    </row>
    <row r="106" spans="5:7">
      <c r="E106">
        <f t="shared" si="2"/>
        <v>51</v>
      </c>
      <c r="F106">
        <f>MAX(0,F105+$B$9*($B$5*F105-$B$6*F105*G105))</f>
        <v>87.1595304616582</v>
      </c>
      <c r="G106">
        <f t="shared" si="3"/>
        <v>36.5915007419071</v>
      </c>
    </row>
    <row r="107" spans="5:7">
      <c r="E107">
        <f t="shared" si="2"/>
        <v>51.5</v>
      </c>
      <c r="F107">
        <f>MAX(0,F106+$B$9*($B$5*F106-$B$6*F106*G106))</f>
        <v>88.3282089611891</v>
      </c>
      <c r="G107">
        <f t="shared" si="3"/>
        <v>36.3565747165878</v>
      </c>
    </row>
    <row r="108" spans="5:7">
      <c r="E108">
        <f t="shared" si="2"/>
        <v>52</v>
      </c>
      <c r="F108">
        <f>MAX(0,F107+$B$9*($B$5*F107-$B$6*F107*G107))</f>
        <v>89.5333082805687</v>
      </c>
      <c r="G108">
        <f t="shared" si="3"/>
        <v>36.1444015450983</v>
      </c>
    </row>
    <row r="109" spans="5:7">
      <c r="E109">
        <f t="shared" si="2"/>
        <v>52.5</v>
      </c>
      <c r="F109">
        <f>MAX(0,F108+$B$9*($B$5*F108-$B$6*F108*G108))</f>
        <v>90.7738458484432</v>
      </c>
      <c r="G109">
        <f t="shared" si="3"/>
        <v>35.9552453909204</v>
      </c>
    </row>
    <row r="110" spans="5:7">
      <c r="E110">
        <f t="shared" si="2"/>
        <v>53</v>
      </c>
      <c r="F110">
        <f>MAX(0,F109+$B$9*($B$5*F109-$B$6*F109*G109))</f>
        <v>92.048742238307</v>
      </c>
      <c r="G110">
        <f t="shared" si="3"/>
        <v>35.7893810726535</v>
      </c>
    </row>
    <row r="111" spans="5:7">
      <c r="E111">
        <f t="shared" si="2"/>
        <v>53.5</v>
      </c>
      <c r="F111">
        <f>MAX(0,F110+$B$9*($B$5*F110-$B$6*F110*G110))</f>
        <v>93.3568118369972</v>
      </c>
      <c r="G111">
        <f t="shared" si="3"/>
        <v>35.6470957756335</v>
      </c>
    </row>
    <row r="112" spans="5:7">
      <c r="E112">
        <f t="shared" si="2"/>
        <v>54</v>
      </c>
      <c r="F112">
        <f>MAX(0,F111+$B$9*($B$5*F111-$B$6*F111*G111))</f>
        <v>94.6967532159858</v>
      </c>
      <c r="G112">
        <f t="shared" si="3"/>
        <v>35.5286905932824</v>
      </c>
    </row>
    <row r="113" spans="5:7">
      <c r="E113">
        <f t="shared" si="2"/>
        <v>54.5</v>
      </c>
      <c r="F113">
        <f>MAX(0,F112+$B$9*($B$5*F112-$B$6*F112*G112))</f>
        <v>96.0671392315859</v>
      </c>
      <c r="G113">
        <f t="shared" si="3"/>
        <v>35.4344818862179</v>
      </c>
    </row>
    <row r="114" spans="5:7">
      <c r="E114">
        <f t="shared" si="2"/>
        <v>55</v>
      </c>
      <c r="F114">
        <f>MAX(0,F113+$B$9*($B$5*F113-$B$6*F113*G113))</f>
        <v>97.4664068882028</v>
      </c>
      <c r="G114">
        <f t="shared" si="3"/>
        <v>35.3648024443882</v>
      </c>
    </row>
    <row r="115" spans="5:7">
      <c r="E115">
        <f t="shared" si="2"/>
        <v>55.5</v>
      </c>
      <c r="F115">
        <f>MAX(0,F114+$B$9*($B$5*F114-$B$6*F114*G114))</f>
        <v>98.8928470080473</v>
      </c>
      <c r="G115">
        <f t="shared" si="3"/>
        <v>35.3200024344516</v>
      </c>
    </row>
    <row r="116" spans="5:7">
      <c r="E116">
        <f t="shared" si="2"/>
        <v>56</v>
      </c>
      <c r="F116">
        <f>MAX(0,F115+$B$9*($B$5*F115-$B$6*F115*G115))</f>
        <v>100.344593761376</v>
      </c>
      <c r="G116">
        <f t="shared" si="3"/>
        <v>35.3004501112661</v>
      </c>
    </row>
    <row r="117" spans="5:7">
      <c r="E117">
        <f t="shared" si="2"/>
        <v>56.5</v>
      </c>
      <c r="F117">
        <f>MAX(0,F116+$B$9*($B$5*F116-$B$6*F116*G116))</f>
        <v>101.819614123436</v>
      </c>
      <c r="G117">
        <f t="shared" si="3"/>
        <v>35.3065322687071</v>
      </c>
    </row>
    <row r="118" spans="5:7">
      <c r="E118">
        <f t="shared" si="2"/>
        <v>57</v>
      </c>
      <c r="F118">
        <f>MAX(0,F117+$B$9*($B$5*F117-$B$6*F117*G117))</f>
        <v>103.315697337971</v>
      </c>
      <c r="G118">
        <f t="shared" si="3"/>
        <v>35.3386544010899</v>
      </c>
    </row>
    <row r="119" spans="5:7">
      <c r="E119">
        <f t="shared" si="2"/>
        <v>57.5</v>
      </c>
      <c r="F119">
        <f>MAX(0,F118+$B$9*($B$5*F118-$B$6*F118*G118))</f>
        <v>104.830444482435</v>
      </c>
      <c r="G119">
        <f t="shared" si="3"/>
        <v>35.3972405422525</v>
      </c>
    </row>
    <row r="120" spans="5:7">
      <c r="E120">
        <f t="shared" si="2"/>
        <v>58</v>
      </c>
      <c r="F120">
        <f>MAX(0,F119+$B$9*($B$5*F119-$B$6*F119*G119))</f>
        <v>106.361258247061</v>
      </c>
      <c r="G120">
        <f t="shared" si="3"/>
        <v>35.4827327448879</v>
      </c>
    </row>
    <row r="121" spans="5:7">
      <c r="E121">
        <f t="shared" si="2"/>
        <v>58.5</v>
      </c>
      <c r="F121">
        <f>MAX(0,F120+$B$9*($B$5*F120-$B$6*F120*G120))</f>
        <v>107.905333058624</v>
      </c>
      <c r="G121">
        <f t="shared" si="3"/>
        <v>35.5955901580387</v>
      </c>
    </row>
    <row r="122" spans="5:7">
      <c r="E122">
        <f t="shared" si="2"/>
        <v>59</v>
      </c>
      <c r="F122">
        <f>MAX(0,F121+$B$9*($B$5*F121-$B$6*F121*G121))</f>
        <v>109.459645700133</v>
      </c>
      <c r="G122">
        <f t="shared" si="3"/>
        <v>35.7362876558475</v>
      </c>
    </row>
    <row r="123" spans="5:7">
      <c r="E123">
        <f t="shared" si="2"/>
        <v>59.5</v>
      </c>
      <c r="F123">
        <f>MAX(0,F122+$B$9*($B$5*F122-$B$6*F122*G122))</f>
        <v>111.020946599693</v>
      </c>
      <c r="G123">
        <f t="shared" si="3"/>
        <v>35.9053139657787</v>
      </c>
    </row>
    <row r="124" spans="5:7">
      <c r="E124">
        <f t="shared" si="2"/>
        <v>60</v>
      </c>
      <c r="F124">
        <f>MAX(0,F123+$B$9*($B$5*F123-$B$6*F123*G123))</f>
        <v>112.585751985238</v>
      </c>
      <c r="G124">
        <f t="shared" si="3"/>
        <v>36.1031692397097</v>
      </c>
    </row>
    <row r="125" spans="5:7">
      <c r="E125">
        <f t="shared" si="2"/>
        <v>60.5</v>
      </c>
      <c r="F125">
        <f>MAX(0,F124+$B$9*($B$5*F124-$B$6*F124*G124))</f>
        <v>114.150337126597</v>
      </c>
      <c r="G125">
        <f t="shared" si="3"/>
        <v>36.3303620066758</v>
      </c>
    </row>
    <row r="126" spans="5:7">
      <c r="E126">
        <f t="shared" si="2"/>
        <v>61</v>
      </c>
      <c r="F126">
        <f>MAX(0,F125+$B$9*($B$5*F125-$B$6*F125*G125))</f>
        <v>115.710730911933</v>
      </c>
      <c r="G126">
        <f t="shared" si="3"/>
        <v>36.5874054418386</v>
      </c>
    </row>
    <row r="127" spans="5:7">
      <c r="E127">
        <f t="shared" si="2"/>
        <v>61.5</v>
      </c>
      <c r="F127">
        <f>MAX(0,F126+$B$9*($B$5*F126-$B$6*F126*G126))</f>
        <v>117.262712031683</v>
      </c>
      <c r="G127">
        <f t="shared" si="3"/>
        <v>36.8748128826699</v>
      </c>
    </row>
    <row r="128" spans="5:7">
      <c r="E128">
        <f t="shared" si="2"/>
        <v>62</v>
      </c>
      <c r="F128">
        <f>MAX(0,F127+$B$9*($B$5*F127-$B$6*F127*G127))</f>
        <v>118.801807068985</v>
      </c>
      <c r="G128">
        <f t="shared" si="3"/>
        <v>37.1930925206778</v>
      </c>
    </row>
    <row r="129" spans="5:7">
      <c r="E129">
        <f t="shared" si="2"/>
        <v>62.5</v>
      </c>
      <c r="F129">
        <f>MAX(0,F128+$B$9*($B$5*F128-$B$6*F128*G128))</f>
        <v>120.323290820494</v>
      </c>
      <c r="G129">
        <f t="shared" si="3"/>
        <v>37.5427411956141</v>
      </c>
    </row>
    <row r="130" spans="5:7">
      <c r="E130">
        <f t="shared" si="2"/>
        <v>63</v>
      </c>
      <c r="F130">
        <f>MAX(0,F129+$B$9*($B$5*F129-$B$6*F129*G129))</f>
        <v>121.82218919444</v>
      </c>
      <c r="G130">
        <f t="shared" si="3"/>
        <v>37.9242372193726</v>
      </c>
    </row>
    <row r="131" spans="5:7">
      <c r="E131">
        <f t="shared" si="2"/>
        <v>63.5</v>
      </c>
      <c r="F131">
        <f>MAX(0,F130+$B$9*($B$5*F130-$B$6*F130*G130))</f>
        <v>123.293285052569</v>
      </c>
      <c r="G131">
        <f t="shared" si="3"/>
        <v>38.3380321592006</v>
      </c>
    </row>
    <row r="132" spans="5:7">
      <c r="E132">
        <f t="shared" si="2"/>
        <v>64</v>
      </c>
      <c r="F132">
        <f>MAX(0,F131+$B$9*($B$5*F131-$B$6*F131*G131))</f>
        <v>124.731127377838</v>
      </c>
      <c r="G132">
        <f t="shared" si="3"/>
        <v>38.78454151492</v>
      </c>
    </row>
    <row r="133" spans="5:7">
      <c r="E133">
        <f t="shared" ref="E133:E196" si="4">E132+$B$9</f>
        <v>64.5</v>
      </c>
      <c r="F133">
        <f>MAX(0,F132+$B$9*($B$5*F132-$B$6*F132*G132))</f>
        <v>126.130044158742</v>
      </c>
      <c r="G133">
        <f t="shared" ref="G133:G196" si="5">MAX(0,G132+$B$9*(-$B$7*G132+$B$8*F132*G132))</f>
        <v>39.2641342331683</v>
      </c>
    </row>
    <row r="134" spans="5:7">
      <c r="E134">
        <f t="shared" si="4"/>
        <v>65</v>
      </c>
      <c r="F134">
        <f>MAX(0,F133+$B$9*($B$5*F133-$B$6*F133*G133))</f>
        <v>127.484159381994</v>
      </c>
      <c r="G134">
        <f t="shared" si="5"/>
        <v>39.777121013852</v>
      </c>
    </row>
    <row r="135" spans="5:7">
      <c r="E135">
        <f t="shared" si="4"/>
        <v>65.5</v>
      </c>
      <c r="F135">
        <f>MAX(0,F134+$B$9*($B$5*F134-$B$6*F134*G134))</f>
        <v>128.787414516007</v>
      </c>
      <c r="G135">
        <f t="shared" si="5"/>
        <v>40.3237413807028</v>
      </c>
    </row>
    <row r="136" spans="5:7">
      <c r="E136">
        <f t="shared" si="4"/>
        <v>66</v>
      </c>
      <c r="F136">
        <f>MAX(0,F135+$B$9*($B$5*F135-$B$6*F135*G135))</f>
        <v>130.033594845775</v>
      </c>
      <c r="G136">
        <f t="shared" si="5"/>
        <v>40.9041495096841</v>
      </c>
    </row>
    <row r="137" spans="5:7">
      <c r="E137">
        <f t="shared" si="4"/>
        <v>66.5</v>
      </c>
      <c r="F137">
        <f>MAX(0,F136+$B$9*($B$5*F136-$B$6*F136*G136))</f>
        <v>131.21636098321</v>
      </c>
      <c r="G137">
        <f t="shared" si="5"/>
        <v>41.5183988366265</v>
      </c>
    </row>
    <row r="138" spans="5:7">
      <c r="E138">
        <f t="shared" si="4"/>
        <v>67</v>
      </c>
      <c r="F138">
        <f>MAX(0,F137+$B$9*($B$5*F137-$B$6*F137*G137))</f>
        <v>132.329285823179</v>
      </c>
      <c r="G138">
        <f t="shared" si="5"/>
        <v>42.166425499391</v>
      </c>
    </row>
    <row r="139" spans="5:7">
      <c r="E139">
        <f t="shared" si="4"/>
        <v>67.5</v>
      </c>
      <c r="F139">
        <f>MAX(0,F138+$B$9*($B$5*F138-$B$6*F138*G138))</f>
        <v>133.365897142287</v>
      </c>
      <c r="G139">
        <f t="shared" si="5"/>
        <v>42.8480307104468</v>
      </c>
    </row>
    <row r="140" spans="5:7">
      <c r="E140">
        <f t="shared" si="4"/>
        <v>68</v>
      </c>
      <c r="F140">
        <f>MAX(0,F139+$B$9*($B$5*F139-$B$6*F139*G139))</f>
        <v>134.319725942923</v>
      </c>
      <c r="G140">
        <f t="shared" si="5"/>
        <v>43.562862203164</v>
      </c>
    </row>
    <row r="141" spans="5:7">
      <c r="E141">
        <f t="shared" si="4"/>
        <v>68.5</v>
      </c>
      <c r="F141">
        <f>MAX(0,F140+$B$9*($B$5*F140-$B$6*F140*G140))</f>
        <v>135.184360527651</v>
      </c>
      <c r="G141">
        <f t="shared" si="5"/>
        <v>44.3103949492149</v>
      </c>
    </row>
    <row r="142" spans="5:7">
      <c r="E142">
        <f t="shared" si="4"/>
        <v>69</v>
      </c>
      <c r="F142">
        <f>MAX(0,F141+$B$9*($B$5*F141-$B$6*F141*G141))</f>
        <v>135.953506148096</v>
      </c>
      <c r="G142">
        <f t="shared" si="5"/>
        <v>45.0899114047228</v>
      </c>
    </row>
    <row r="143" spans="5:7">
      <c r="E143">
        <f t="shared" si="4"/>
        <v>69.5</v>
      </c>
      <c r="F143">
        <f>MAX(0,F142+$B$9*($B$5*F142-$B$6*F142*G142))</f>
        <v>136.621049908122</v>
      </c>
      <c r="G143">
        <f t="shared" si="5"/>
        <v>45.9004816081762</v>
      </c>
    </row>
    <row r="144" spans="5:7">
      <c r="E144">
        <f t="shared" si="4"/>
        <v>70</v>
      </c>
      <c r="F144">
        <f>MAX(0,F143+$B$9*($B$5*F143-$B$6*F143*G143))</f>
        <v>137.18113041493</v>
      </c>
      <c r="G144">
        <f t="shared" si="5"/>
        <v>46.7409435220661</v>
      </c>
    </row>
    <row r="145" spans="5:7">
      <c r="E145">
        <f t="shared" si="4"/>
        <v>70.5</v>
      </c>
      <c r="F145">
        <f>MAX(0,F144+$B$9*($B$5*F144-$B$6*F144*G144))</f>
        <v>137.628211466659</v>
      </c>
      <c r="G145">
        <f t="shared" si="5"/>
        <v>47.6098840804716</v>
      </c>
    </row>
    <row r="146" spans="5:7">
      <c r="E146">
        <f t="shared" si="4"/>
        <v>71</v>
      </c>
      <c r="F146">
        <f>MAX(0,F145+$B$9*($B$5*F145-$B$6*F145*G145))</f>
        <v>137.957158845862</v>
      </c>
      <c r="G146">
        <f t="shared" si="5"/>
        <v>48.5056214735131</v>
      </c>
    </row>
    <row r="147" spans="5:7">
      <c r="E147">
        <f t="shared" si="4"/>
        <v>71.5</v>
      </c>
      <c r="F147">
        <f>MAX(0,F146+$B$9*($B$5*F146-$B$6*F146*G146))</f>
        <v>138.163319061616</v>
      </c>
      <c r="G147">
        <f t="shared" si="5"/>
        <v>49.4261892631068</v>
      </c>
    </row>
    <row r="148" spans="5:7">
      <c r="E148">
        <f t="shared" si="4"/>
        <v>72</v>
      </c>
      <c r="F148">
        <f>MAX(0,F147+$B$9*($B$5*F147-$B$6*F147*G147))</f>
        <v>138.242598657539</v>
      </c>
      <c r="G148">
        <f t="shared" si="5"/>
        <v>50.3693229785307</v>
      </c>
    </row>
    <row r="149" spans="5:7">
      <c r="E149">
        <f t="shared" si="4"/>
        <v>72.5</v>
      </c>
      <c r="F149">
        <f>MAX(0,F148+$B$9*($B$5*F148-$B$6*F148*G148))</f>
        <v>138.191542489243</v>
      </c>
      <c r="G149">
        <f t="shared" si="5"/>
        <v>51.3324498801906</v>
      </c>
    </row>
    <row r="150" spans="5:7">
      <c r="E150">
        <f t="shared" si="4"/>
        <v>73</v>
      </c>
      <c r="F150">
        <f>MAX(0,F149+$B$9*($B$5*F149-$B$6*F149*G149))</f>
        <v>138.00740918501</v>
      </c>
      <c r="G150">
        <f t="shared" si="5"/>
        <v>52.3126826005288</v>
      </c>
    </row>
    <row r="151" spans="5:7">
      <c r="E151">
        <f t="shared" si="4"/>
        <v>73.5</v>
      </c>
      <c r="F151">
        <f>MAX(0,F150+$B$9*($B$5*F150-$B$6*F150*G150))</f>
        <v>137.688241851043</v>
      </c>
      <c r="G151">
        <f t="shared" si="5"/>
        <v>53.3068173671107</v>
      </c>
    </row>
    <row r="152" spans="5:7">
      <c r="E152">
        <f t="shared" si="4"/>
        <v>74</v>
      </c>
      <c r="F152">
        <f>MAX(0,F151+$B$9*($B$5*F151-$B$6*F151*G151))</f>
        <v>137.232931981643</v>
      </c>
      <c r="G152">
        <f t="shared" si="5"/>
        <v>54.3113374797312</v>
      </c>
    </row>
    <row r="153" spans="5:7">
      <c r="E153">
        <f t="shared" si="4"/>
        <v>74.5</v>
      </c>
      <c r="F153">
        <f>MAX(0,F152+$B$9*($B$5*F152-$B$6*F152*G152))</f>
        <v>136.641274498538</v>
      </c>
      <c r="G153">
        <f t="shared" si="5"/>
        <v>55.3224226468387</v>
      </c>
    </row>
    <row r="154" spans="5:7">
      <c r="E154">
        <f t="shared" si="4"/>
        <v>75</v>
      </c>
      <c r="F154">
        <f>MAX(0,F153+$B$9*($B$5*F153-$B$6*F153*G153))</f>
        <v>135.914011884654</v>
      </c>
      <c r="G154">
        <f t="shared" si="5"/>
        <v>56.3359646839021</v>
      </c>
    </row>
    <row r="155" spans="5:7">
      <c r="E155">
        <f t="shared" si="4"/>
        <v>75.5</v>
      </c>
      <c r="F155">
        <f>MAX(0,F154+$B$9*($B$5*F154-$B$6*F154*G154))</f>
        <v>135.052865505305</v>
      </c>
      <c r="G155">
        <f t="shared" si="5"/>
        <v>57.3475899364977</v>
      </c>
    </row>
    <row r="156" spans="5:7">
      <c r="E156">
        <f t="shared" si="4"/>
        <v>76</v>
      </c>
      <c r="F156">
        <f>MAX(0,F155+$B$9*($B$5*F155-$B$6*F155*G155))</f>
        <v>134.060552429823</v>
      </c>
      <c r="G156">
        <f t="shared" si="5"/>
        <v>58.3526886150464</v>
      </c>
    </row>
    <row r="157" spans="5:7">
      <c r="E157">
        <f t="shared" si="4"/>
        <v>76.5</v>
      </c>
      <c r="F157">
        <f>MAX(0,F156+$B$9*($B$5*F156-$B$6*F156*G156))</f>
        <v>132.940786379816</v>
      </c>
      <c r="G157">
        <f t="shared" si="5"/>
        <v>59.3464510200433</v>
      </c>
    </row>
    <row r="158" spans="5:7">
      <c r="E158">
        <f t="shared" si="4"/>
        <v>77</v>
      </c>
      <c r="F158">
        <f>MAX(0,F157+$B$9*($B$5*F157-$B$6*F157*G157))</f>
        <v>131.698261831351</v>
      </c>
      <c r="G158">
        <f t="shared" si="5"/>
        <v>60.3239104027691</v>
      </c>
    </row>
    <row r="159" spans="5:7">
      <c r="E159">
        <f t="shared" si="4"/>
        <v>77.5</v>
      </c>
      <c r="F159">
        <f>MAX(0,F158+$B$9*($B$5*F158-$B$6*F158*G158))</f>
        <v>130.338620776003</v>
      </c>
      <c r="G159">
        <f t="shared" si="5"/>
        <v>61.279991956088</v>
      </c>
    </row>
    <row r="160" spans="5:7">
      <c r="E160">
        <f t="shared" si="4"/>
        <v>78</v>
      </c>
      <c r="F160">
        <f>MAX(0,F159+$B$9*($B$5*F159-$B$6*F159*G159))</f>
        <v>128.868402182082</v>
      </c>
      <c r="G160">
        <f t="shared" si="5"/>
        <v>62.2095671746442</v>
      </c>
    </row>
    <row r="161" spans="5:7">
      <c r="E161">
        <f t="shared" si="4"/>
        <v>78.5</v>
      </c>
      <c r="F161">
        <f>MAX(0,F160+$B$9*($B$5*F160-$B$6*F160*G160))</f>
        <v>127.294974768951</v>
      </c>
      <c r="G161">
        <f t="shared" si="5"/>
        <v>63.1075125770296</v>
      </c>
    </row>
    <row r="162" spans="5:7">
      <c r="E162">
        <f t="shared" si="4"/>
        <v>79</v>
      </c>
      <c r="F162">
        <f>MAX(0,F161+$B$9*($B$5*F161-$B$6*F161*G161))</f>
        <v>125.626454286175</v>
      </c>
      <c r="G162">
        <f t="shared" si="5"/>
        <v>63.9687715587903</v>
      </c>
    </row>
    <row r="163" spans="5:7">
      <c r="E163">
        <f t="shared" si="4"/>
        <v>79.5</v>
      </c>
      <c r="F163">
        <f>MAX(0,F162+$B$9*($B$5*F162-$B$6*F162*G162))</f>
        <v>123.87160704451</v>
      </c>
      <c r="G163">
        <f t="shared" si="5"/>
        <v>64.7884179588373</v>
      </c>
    </row>
    <row r="164" spans="5:7">
      <c r="E164">
        <f t="shared" si="4"/>
        <v>80</v>
      </c>
      <c r="F164">
        <f>MAX(0,F163+$B$9*($B$5*F163-$B$6*F163*G163))</f>
        <v>122.039741946303</v>
      </c>
      <c r="G164">
        <f t="shared" si="5"/>
        <v>65.5617197861117</v>
      </c>
    </row>
    <row r="165" spans="5:7">
      <c r="E165">
        <f t="shared" si="4"/>
        <v>80.5</v>
      </c>
      <c r="F165">
        <f>MAX(0,F164+$B$9*($B$5*F164-$B$6*F164*G164))</f>
        <v>120.140593679365</v>
      </c>
      <c r="G165">
        <f t="shared" si="5"/>
        <v>66.2842014789326</v>
      </c>
    </row>
    <row r="166" spans="5:7">
      <c r="E166">
        <f t="shared" si="4"/>
        <v>81</v>
      </c>
      <c r="F166">
        <f>MAX(0,F165+$B$9*($B$5*F165-$B$6*F165*G165))</f>
        <v>118.184200046092</v>
      </c>
      <c r="G166">
        <f t="shared" si="5"/>
        <v>66.9517030636068</v>
      </c>
    </row>
    <row r="167" spans="5:7">
      <c r="E167">
        <f t="shared" si="4"/>
        <v>81.5</v>
      </c>
      <c r="F167">
        <f>MAX(0,F166+$B$9*($B$5*F166-$B$6*F166*G166))</f>
        <v>116.180776580101</v>
      </c>
      <c r="G167">
        <f t="shared" si="5"/>
        <v>67.5604346445744</v>
      </c>
    </row>
    <row r="168" spans="5:7">
      <c r="E168">
        <f t="shared" si="4"/>
        <v>82</v>
      </c>
      <c r="F168">
        <f>MAX(0,F167+$B$9*($B$5*F167-$B$6*F167*G167))</f>
        <v>114.14059164601</v>
      </c>
      <c r="G168">
        <f t="shared" si="5"/>
        <v>68.1070247938935</v>
      </c>
    </row>
    <row r="169" spans="5:7">
      <c r="E169">
        <f t="shared" si="4"/>
        <v>82.5</v>
      </c>
      <c r="F169">
        <f>MAX(0,F168+$B$9*($B$5*F168-$B$6*F168*G168))</f>
        <v>112.073845123086</v>
      </c>
      <c r="G169">
        <f t="shared" si="5"/>
        <v>68.5885616068111</v>
      </c>
    </row>
    <row r="170" spans="5:7">
      <c r="E170">
        <f t="shared" si="4"/>
        <v>83</v>
      </c>
      <c r="F170">
        <f>MAX(0,F169+$B$9*($B$5*F169-$B$6*F169*G169))</f>
        <v>109.990553548503</v>
      </c>
      <c r="G170">
        <f t="shared" si="5"/>
        <v>69.002625441839</v>
      </c>
    </row>
    <row r="171" spans="5:7">
      <c r="E171">
        <f t="shared" si="4"/>
        <v>83.5</v>
      </c>
      <c r="F171">
        <f>MAX(0,F170+$B$9*($B$5*F170-$B$6*F170*G170))</f>
        <v>107.900444257281</v>
      </c>
      <c r="G171">
        <f t="shared" si="5"/>
        <v>69.347312654071</v>
      </c>
    </row>
    <row r="172" spans="5:7">
      <c r="E172">
        <f t="shared" si="4"/>
        <v>84</v>
      </c>
      <c r="F172">
        <f>MAX(0,F171+$B$9*($B$5*F171-$B$6*F171*G171))</f>
        <v>105.812860626722</v>
      </c>
      <c r="G172">
        <f t="shared" si="5"/>
        <v>69.6212499430789</v>
      </c>
    </row>
    <row r="173" spans="5:7">
      <c r="E173">
        <f t="shared" si="4"/>
        <v>84.5</v>
      </c>
      <c r="F173">
        <f>MAX(0,F172+$B$9*($B$5*F172-$B$6*F172*G172))</f>
        <v>103.736680041173</v>
      </c>
      <c r="G173">
        <f t="shared" si="5"/>
        <v>69.8235992543675</v>
      </c>
    </row>
    <row r="174" spans="5:7">
      <c r="E174">
        <f t="shared" si="4"/>
        <v>85</v>
      </c>
      <c r="F174">
        <f>MAX(0,F173+$B$9*($B$5*F173-$B$6*F173*G173))</f>
        <v>101.680245668058</v>
      </c>
      <c r="G174">
        <f t="shared" si="5"/>
        <v>69.9540534792359</v>
      </c>
    </row>
    <row r="175" spans="5:7">
      <c r="E175">
        <f t="shared" si="4"/>
        <v>85.5</v>
      </c>
      <c r="F175">
        <f>MAX(0,F174+$B$9*($B$5*F174-$B$6*F174*G174))</f>
        <v>99.6513126082157</v>
      </c>
      <c r="G175">
        <f t="shared" si="5"/>
        <v>70.0128234768966</v>
      </c>
    </row>
    <row r="176" spans="5:7">
      <c r="E176">
        <f t="shared" si="4"/>
        <v>86</v>
      </c>
      <c r="F176">
        <f>MAX(0,F175+$B$9*($B$5*F175-$B$6*F175*G175))</f>
        <v>97.6570084797465</v>
      </c>
      <c r="G176">
        <f t="shared" si="5"/>
        <v>70.0006171824918</v>
      </c>
    </row>
    <row r="177" spans="5:7">
      <c r="E177">
        <f t="shared" si="4"/>
        <v>86.5</v>
      </c>
      <c r="F177">
        <f>MAX(0,F176+$B$9*($B$5*F176-$B$6*F176*G176))</f>
        <v>95.7038080379557</v>
      </c>
      <c r="G177">
        <f t="shared" si="5"/>
        <v>69.9186117562563</v>
      </c>
    </row>
    <row r="178" spans="5:7">
      <c r="E178">
        <f t="shared" si="4"/>
        <v>87</v>
      </c>
      <c r="F178">
        <f>MAX(0,F177+$B$9*($B$5*F177-$B$6*F177*G177))</f>
        <v>93.7975210420524</v>
      </c>
      <c r="G178">
        <f t="shared" si="5"/>
        <v>69.768419867344</v>
      </c>
    </row>
    <row r="179" spans="5:7">
      <c r="E179">
        <f t="shared" si="4"/>
        <v>87.5</v>
      </c>
      <c r="F179">
        <f>MAX(0,F178+$B$9*($B$5*F178-$B$6*F178*G178))</f>
        <v>91.943292263577</v>
      </c>
      <c r="G179">
        <f t="shared" si="5"/>
        <v>69.5520512892658</v>
      </c>
    </row>
    <row r="180" spans="5:7">
      <c r="E180">
        <f t="shared" si="4"/>
        <v>88</v>
      </c>
      <c r="F180">
        <f>MAX(0,F179+$B$9*($B$5*F179-$B$6*F179*G179))</f>
        <v>90.1456122975356</v>
      </c>
      <c r="G180">
        <f t="shared" si="5"/>
        <v>69.2718710144127</v>
      </c>
    </row>
    <row r="181" spans="5:7">
      <c r="E181">
        <f t="shared" si="4"/>
        <v>88.5</v>
      </c>
      <c r="F181">
        <f>MAX(0,F180+$B$9*($B$5*F180-$B$6*F180*G180))</f>
        <v>88.4083376848223</v>
      </c>
      <c r="G181">
        <f t="shared" si="5"/>
        <v>68.9305550774871</v>
      </c>
    </row>
    <row r="182" spans="5:7">
      <c r="E182">
        <f t="shared" si="4"/>
        <v>89</v>
      </c>
      <c r="F182">
        <f>MAX(0,F181+$B$9*($B$5*F181-$B$6*F181*G181))</f>
        <v>86.7347187789707</v>
      </c>
      <c r="G182">
        <f t="shared" si="5"/>
        <v>68.5310452186591</v>
      </c>
    </row>
    <row r="183" spans="5:7">
      <c r="E183">
        <f t="shared" si="4"/>
        <v>89.5</v>
      </c>
      <c r="F183">
        <f>MAX(0,F182+$B$9*($B$5*F182-$B$6*F182*G182))</f>
        <v>85.1274337832499</v>
      </c>
      <c r="G183">
        <f t="shared" si="5"/>
        <v>68.0765034250608</v>
      </c>
    </row>
    <row r="184" spans="5:7">
      <c r="E184">
        <f t="shared" si="4"/>
        <v>90</v>
      </c>
      <c r="F184">
        <f>MAX(0,F183+$B$9*($B$5*F183-$B$6*F183*G183))</f>
        <v>83.5886274349003</v>
      </c>
      <c r="G184">
        <f t="shared" si="5"/>
        <v>67.5702672725638</v>
      </c>
    </row>
    <row r="185" spans="5:7">
      <c r="E185">
        <f t="shared" si="4"/>
        <v>90.5</v>
      </c>
      <c r="F185">
        <f>MAX(0,F184+$B$9*($B$5*F184-$B$6*F184*G184))</f>
        <v>82.1199529099224</v>
      </c>
      <c r="G185">
        <f t="shared" si="5"/>
        <v>67.0158068572971</v>
      </c>
    </row>
    <row r="186" spans="5:7">
      <c r="E186">
        <f t="shared" si="4"/>
        <v>91</v>
      </c>
      <c r="F186">
        <f>MAX(0,F185+$B$9*($B$5*F185-$B$6*F185*G185))</f>
        <v>80.7226156520768</v>
      </c>
      <c r="G186">
        <f t="shared" si="5"/>
        <v>66.4166839661031</v>
      </c>
    </row>
    <row r="187" spans="5:7">
      <c r="E187">
        <f t="shared" si="4"/>
        <v>91.5</v>
      </c>
      <c r="F187">
        <f>MAX(0,F186+$B$9*($B$5*F186-$B$6*F186*G186))</f>
        <v>79.3974179819995</v>
      </c>
      <c r="G187">
        <f t="shared" si="5"/>
        <v>65.7765139941385</v>
      </c>
    </row>
    <row r="188" spans="5:7">
      <c r="E188">
        <f t="shared" si="4"/>
        <v>92</v>
      </c>
      <c r="F188">
        <f>MAX(0,F187+$B$9*($B$5*F187-$B$6*F187*G187))</f>
        <v>78.144803506108</v>
      </c>
      <c r="G188">
        <f t="shared" si="5"/>
        <v>65.0989309819273</v>
      </c>
    </row>
    <row r="189" spans="5:7">
      <c r="E189">
        <f t="shared" si="4"/>
        <v>92.5</v>
      </c>
      <c r="F189">
        <f>MAX(0,F188+$B$9*($B$5*F188-$B$6*F188*G188))</f>
        <v>76.964900511373</v>
      </c>
      <c r="G189">
        <f t="shared" si="5"/>
        <v>64.3875560178511</v>
      </c>
    </row>
    <row r="190" spans="5:7">
      <c r="E190">
        <f t="shared" si="4"/>
        <v>93</v>
      </c>
      <c r="F190">
        <f>MAX(0,F189+$B$9*($B$5*F189-$B$6*F189*G189))</f>
        <v>75.8575636938573</v>
      </c>
      <c r="G190">
        <f t="shared" si="5"/>
        <v>63.6459691385008</v>
      </c>
    </row>
    <row r="191" spans="5:7">
      <c r="E191">
        <f t="shared" si="4"/>
        <v>93.5</v>
      </c>
      <c r="F191">
        <f>MAX(0,F190+$B$9*($B$5*F190-$B$6*F190*G190))</f>
        <v>74.822413720769</v>
      </c>
      <c r="G191">
        <f t="shared" si="5"/>
        <v>62.8776847604663</v>
      </c>
    </row>
    <row r="192" spans="5:7">
      <c r="E192">
        <f t="shared" si="4"/>
        <v>94</v>
      </c>
      <c r="F192">
        <f>MAX(0,F191+$B$9*($B$5*F191-$B$6*F191*G191))</f>
        <v>73.8588742638558</v>
      </c>
      <c r="G192">
        <f t="shared" si="5"/>
        <v>62.0861305939188</v>
      </c>
    </row>
    <row r="193" spans="5:7">
      <c r="E193">
        <f t="shared" si="4"/>
        <v>94.5</v>
      </c>
      <c r="F193">
        <f>MAX(0,F192+$B$9*($B$5*F192-$B$6*F192*G192))</f>
        <v>72.966206263983</v>
      </c>
      <c r="G193">
        <f t="shared" si="5"/>
        <v>61.2746299207557</v>
      </c>
    </row>
    <row r="194" spans="5:7">
      <c r="E194">
        <f t="shared" si="4"/>
        <v>95</v>
      </c>
      <c r="F194">
        <f>MAX(0,F193+$B$9*($B$5*F193-$B$6*F193*G193))</f>
        <v>72.1435392916351</v>
      </c>
      <c r="G194">
        <f t="shared" si="5"/>
        <v>60.4463870674914</v>
      </c>
    </row>
    <row r="195" spans="5:7">
      <c r="E195">
        <f t="shared" si="4"/>
        <v>95.5</v>
      </c>
      <c r="F195">
        <f>MAX(0,F194+$B$9*($B$5*F194-$B$6*F194*G194))</f>
        <v>71.3898999557759</v>
      </c>
      <c r="G195">
        <f t="shared" si="5"/>
        <v>59.6044758643373</v>
      </c>
    </row>
    <row r="196" spans="5:7">
      <c r="E196">
        <f t="shared" si="4"/>
        <v>96</v>
      </c>
      <c r="F196">
        <f>MAX(0,F195+$B$9*($B$5*F195-$B$6*F195*G195))</f>
        <v>70.7042373846932</v>
      </c>
      <c r="G196">
        <f t="shared" si="5"/>
        <v>58.7518308555562</v>
      </c>
    </row>
    <row r="197" spans="5:7">
      <c r="E197">
        <f t="shared" ref="E197:E260" si="6">E196+$B$9</f>
        <v>96.5</v>
      </c>
      <c r="F197">
        <f>MAX(0,F196+$B$9*($B$5*F196-$B$6*F196*G196))</f>
        <v>70.0854458583312</v>
      </c>
      <c r="G197">
        <f t="shared" ref="G197:G260" si="7">MAX(0,G196+$B$9*(-$B$7*G196+$B$8*F196*G196))</f>
        <v>57.8912410105767</v>
      </c>
    </row>
    <row r="198" spans="5:7">
      <c r="E198">
        <f t="shared" si="6"/>
        <v>97</v>
      </c>
      <c r="F198">
        <f>MAX(0,F197+$B$9*($B$5*F197-$B$6*F197*G197))</f>
        <v>69.5323847137294</v>
      </c>
      <c r="G198">
        <f t="shared" si="7"/>
        <v>57.025345678807</v>
      </c>
    </row>
    <row r="199" spans="5:7">
      <c r="E199">
        <f t="shared" si="6"/>
        <v>97.5</v>
      </c>
      <c r="F199">
        <f>MAX(0,F198+$B$9*($B$5*F198-$B$6*F198*G198))</f>
        <v>69.0438956752437</v>
      </c>
      <c r="G199">
        <f t="shared" si="7"/>
        <v>56.1566325319528</v>
      </c>
    </row>
    <row r="200" spans="5:7">
      <c r="E200">
        <f t="shared" si="6"/>
        <v>98</v>
      </c>
      <c r="F200">
        <f>MAX(0,F199+$B$9*($B$5*F199-$B$6*F199*G199))</f>
        <v>68.6188177809967</v>
      </c>
      <c r="G200">
        <f t="shared" si="7"/>
        <v>55.2874372443597</v>
      </c>
    </row>
    <row r="201" spans="5:7">
      <c r="E201">
        <f t="shared" si="6"/>
        <v>98.5</v>
      </c>
      <c r="F201">
        <f>MAX(0,F200+$B$9*($B$5*F200-$B$6*F200*G200))</f>
        <v>68.2560000881975</v>
      </c>
      <c r="G201">
        <f t="shared" si="7"/>
        <v>54.4199446730663</v>
      </c>
    </row>
    <row r="202" spans="5:7">
      <c r="E202">
        <f t="shared" si="6"/>
        <v>99</v>
      </c>
      <c r="F202">
        <f>MAX(0,F201+$B$9*($B$5*F201-$B$6*F201*G201))</f>
        <v>67.9543123442029</v>
      </c>
      <c r="G202">
        <f t="shared" si="7"/>
        <v>53.5561913136152</v>
      </c>
    </row>
    <row r="203" spans="5:7">
      <c r="E203">
        <f t="shared" si="6"/>
        <v>99.5</v>
      </c>
      <c r="F203">
        <f>MAX(0,F202+$B$9*($B$5*F202-$B$6*F202*G202))</f>
        <v>67.7126538089218</v>
      </c>
      <c r="G203">
        <f t="shared" si="7"/>
        <v>52.6980688241801</v>
      </c>
    </row>
    <row r="204" spans="5:7">
      <c r="E204">
        <f t="shared" si="6"/>
        <v>100</v>
      </c>
      <c r="F204">
        <f>MAX(0,F203+$B$9*($B$5*F203-$B$6*F203*G203))</f>
        <v>67.5299604086774</v>
      </c>
      <c r="G204">
        <f t="shared" si="7"/>
        <v>51.8473284283163</v>
      </c>
    </row>
    <row r="205" spans="5:7">
      <c r="E205">
        <f t="shared" si="6"/>
        <v>100.5</v>
      </c>
      <c r="F205">
        <f>MAX(0,F204+$B$9*($B$5*F204-$B$6*F204*G204))</f>
        <v>67.4052103930514</v>
      </c>
      <c r="G205">
        <f t="shared" si="7"/>
        <v>51.0055860249304</v>
      </c>
    </row>
    <row r="206" spans="5:7">
      <c r="E206">
        <f t="shared" si="6"/>
        <v>101</v>
      </c>
      <c r="F206">
        <f>MAX(0,F205+$B$9*($B$5*F205-$B$6*F205*G205))</f>
        <v>67.3374286554726</v>
      </c>
      <c r="G206">
        <f t="shared" si="7"/>
        <v>50.1743278522996</v>
      </c>
    </row>
    <row r="207" spans="5:7">
      <c r="E207">
        <f t="shared" si="6"/>
        <v>101.5</v>
      </c>
      <c r="F207">
        <f>MAX(0,F206+$B$9*($B$5*F206-$B$6*F206*G206))</f>
        <v>67.3256898661558</v>
      </c>
      <c r="G207">
        <f t="shared" si="7"/>
        <v>49.3549165707299</v>
      </c>
    </row>
    <row r="208" spans="5:7">
      <c r="E208">
        <f t="shared" si="6"/>
        <v>102</v>
      </c>
      <c r="F208">
        <f>MAX(0,F207+$B$9*($B$5*F207-$B$6*F207*G207))</f>
        <v>67.3691205530526</v>
      </c>
      <c r="G208">
        <f t="shared" si="7"/>
        <v>48.5485976453988</v>
      </c>
    </row>
    <row r="209" spans="5:7">
      <c r="E209">
        <f t="shared" si="6"/>
        <v>102.5</v>
      </c>
      <c r="F209">
        <f>MAX(0,F208+$B$9*($B$5*F208-$B$6*F208*G208))</f>
        <v>67.4669002532507</v>
      </c>
      <c r="G209">
        <f t="shared" si="7"/>
        <v>47.7565059268562</v>
      </c>
    </row>
    <row r="210" spans="5:7">
      <c r="E210">
        <f t="shared" si="6"/>
        <v>103</v>
      </c>
      <c r="F210">
        <f>MAX(0,F209+$B$9*($B$5*F209-$B$6*F209*G209))</f>
        <v>67.6182618441023</v>
      </c>
      <c r="G210">
        <f t="shared" si="7"/>
        <v>46.9796723414188</v>
      </c>
    </row>
    <row r="211" spans="5:7">
      <c r="E211">
        <f t="shared" si="6"/>
        <v>103.5</v>
      </c>
      <c r="F211">
        <f>MAX(0,F210+$B$9*($B$5*F210-$B$6*F210*G210))</f>
        <v>67.8224911505752</v>
      </c>
      <c r="G211">
        <f t="shared" si="7"/>
        <v>46.219030617214</v>
      </c>
    </row>
    <row r="212" spans="5:7">
      <c r="E212">
        <f t="shared" si="6"/>
        <v>104</v>
      </c>
      <c r="F212">
        <f>MAX(0,F211+$B$9*($B$5*F211-$B$6*F211*G211))</f>
        <v>68.0789259130798</v>
      </c>
      <c r="G212">
        <f t="shared" si="7"/>
        <v>45.4754239838654</v>
      </c>
    </row>
    <row r="213" spans="5:7">
      <c r="E213">
        <f t="shared" si="6"/>
        <v>104.5</v>
      </c>
      <c r="F213">
        <f>MAX(0,F212+$B$9*($B$5*F212-$B$6*F212*G212))</f>
        <v>68.3869541884703</v>
      </c>
      <c r="G213">
        <f t="shared" si="7"/>
        <v>44.7496117948038</v>
      </c>
    </row>
    <row r="214" spans="5:7">
      <c r="E214">
        <f t="shared" si="6"/>
        <v>105</v>
      </c>
      <c r="F214">
        <f>MAX(0,F213+$B$9*($B$5*F213-$B$6*F213*G213))</f>
        <v>68.7460122461307</v>
      </c>
      <c r="G214">
        <f t="shared" si="7"/>
        <v>44.0422760309452</v>
      </c>
    </row>
    <row r="215" spans="5:7">
      <c r="E215">
        <f t="shared" si="6"/>
        <v>105.5</v>
      </c>
      <c r="F215">
        <f>MAX(0,F214+$B$9*($B$5*F214-$B$6*F214*G214))</f>
        <v>69.1555820110665</v>
      </c>
      <c r="G215">
        <f t="shared" si="7"/>
        <v>43.3540276530833</v>
      </c>
    </row>
    <row r="216" spans="5:7">
      <c r="E216">
        <f t="shared" si="6"/>
        <v>106</v>
      </c>
      <c r="F216">
        <f>MAX(0,F215+$B$9*($B$5*F215-$B$6*F215*G215))</f>
        <v>69.6151880967469</v>
      </c>
      <c r="G216">
        <f t="shared" si="7"/>
        <v>42.6854127778656</v>
      </c>
    </row>
    <row r="217" spans="5:7">
      <c r="E217">
        <f t="shared" si="6"/>
        <v>106.5</v>
      </c>
      <c r="F217">
        <f>MAX(0,F216+$B$9*($B$5*F216-$B$6*F216*G216))</f>
        <v>70.1243944620659</v>
      </c>
      <c r="G217">
        <f t="shared" si="7"/>
        <v>42.0369186587315</v>
      </c>
    </row>
    <row r="218" spans="5:7">
      <c r="E218">
        <f t="shared" si="6"/>
        <v>107</v>
      </c>
      <c r="F218">
        <f>MAX(0,F217+$B$9*($B$5*F217-$B$6*F217*G217))</f>
        <v>70.6828007191745</v>
      </c>
      <c r="G218">
        <f t="shared" si="7"/>
        <v>41.4089794587923</v>
      </c>
    </row>
    <row r="219" spans="5:7">
      <c r="E219">
        <f t="shared" si="6"/>
        <v>107.5</v>
      </c>
      <c r="F219">
        <f>MAX(0,F218+$B$9*($B$5*F218-$B$6*F218*G218))</f>
        <v>71.290038112063</v>
      </c>
      <c r="G219">
        <f t="shared" si="7"/>
        <v>40.8019818073878</v>
      </c>
    </row>
    <row r="220" spans="5:7">
      <c r="E220">
        <f t="shared" si="6"/>
        <v>108</v>
      </c>
      <c r="F220">
        <f>MAX(0,F219+$B$9*($B$5*F219-$B$6*F219*G219))</f>
        <v>71.9457651795698</v>
      </c>
      <c r="G220">
        <f t="shared" si="7"/>
        <v>40.2162701360666</v>
      </c>
    </row>
    <row r="221" spans="5:7">
      <c r="E221">
        <f t="shared" si="6"/>
        <v>108.5</v>
      </c>
      <c r="F221">
        <f>MAX(0,F220+$B$9*($B$5*F220-$B$6*F220*G220))</f>
        <v>72.6496631109407</v>
      </c>
      <c r="G221">
        <f t="shared" si="7"/>
        <v>39.652151793067</v>
      </c>
    </row>
    <row r="222" spans="5:7">
      <c r="E222">
        <f t="shared" si="6"/>
        <v>109</v>
      </c>
      <c r="F222">
        <f>MAX(0,F221+$B$9*($B$5*F221-$B$6*F221*G221))</f>
        <v>73.4014307970975</v>
      </c>
      <c r="G222">
        <f t="shared" si="7"/>
        <v>39.1099019381088</v>
      </c>
    </row>
    <row r="223" spans="5:7">
      <c r="E223">
        <f t="shared" si="6"/>
        <v>109.5</v>
      </c>
      <c r="F223">
        <f>MAX(0,F222+$B$9*($B$5*F222-$B$6*F222*G222))</f>
        <v>74.200779576361</v>
      </c>
      <c r="G223">
        <f t="shared" si="7"/>
        <v>38.589768221499</v>
      </c>
    </row>
    <row r="224" spans="5:7">
      <c r="E224">
        <f t="shared" si="6"/>
        <v>110</v>
      </c>
      <c r="F224">
        <f>MAX(0,F223+$B$9*($B$5*F223-$B$6*F223*G223))</f>
        <v>75.0474276694728</v>
      </c>
      <c r="G224">
        <f t="shared" si="7"/>
        <v>38.0919752532772</v>
      </c>
    </row>
    <row r="225" spans="5:7">
      <c r="E225">
        <f t="shared" si="6"/>
        <v>110.5</v>
      </c>
      <c r="F225">
        <f>MAX(0,F224+$B$9*($B$5*F224-$B$6*F224*G224))</f>
        <v>75.9410942953388</v>
      </c>
      <c r="G225">
        <f t="shared" si="7"/>
        <v>37.6167288694172</v>
      </c>
    </row>
    <row r="226" spans="5:7">
      <c r="E226">
        <f t="shared" si="6"/>
        <v>111</v>
      </c>
      <c r="F226">
        <f>MAX(0,F225+$B$9*($B$5*F225-$B$6*F225*G225))</f>
        <v>76.8814934559511</v>
      </c>
      <c r="G226">
        <f t="shared" si="7"/>
        <v>37.1642202030237</v>
      </c>
    </row>
    <row r="227" spans="5:7">
      <c r="E227">
        <f t="shared" si="6"/>
        <v>111.5</v>
      </c>
      <c r="F227">
        <f>MAX(0,F226+$B$9*($B$5*F226-$B$6*F226*G226))</f>
        <v>77.8683273764144</v>
      </c>
      <c r="G227">
        <f t="shared" si="7"/>
        <v>36.7346295690396</v>
      </c>
    </row>
    <row r="228" spans="5:7">
      <c r="E228">
        <f t="shared" si="6"/>
        <v>112</v>
      </c>
      <c r="F228">
        <f>MAX(0,F227+$B$9*($B$5*F227-$B$6*F227*G227))</f>
        <v>78.9012795839018</v>
      </c>
      <c r="G228">
        <f t="shared" si="7"/>
        <v>36.3281301712543</v>
      </c>
    </row>
    <row r="229" spans="5:7">
      <c r="E229">
        <f t="shared" si="6"/>
        <v>112.5</v>
      </c>
      <c r="F229">
        <f>MAX(0,F228+$B$9*($B$5*F228-$B$6*F228*G228))</f>
        <v>79.9800076076944</v>
      </c>
      <c r="G229">
        <f t="shared" si="7"/>
        <v>35.9448916403928</v>
      </c>
    </row>
    <row r="230" spans="5:7">
      <c r="E230">
        <f t="shared" si="6"/>
        <v>113</v>
      </c>
      <c r="F230">
        <f>MAX(0,F229+$B$9*($B$5*F229-$B$6*F229*G229))</f>
        <v>81.1041352812227</v>
      </c>
      <c r="G230">
        <f t="shared" si="7"/>
        <v>35.5850834118014</v>
      </c>
    </row>
    <row r="231" spans="5:7">
      <c r="E231">
        <f t="shared" si="6"/>
        <v>113.5</v>
      </c>
      <c r="F231">
        <f>MAX(0,F230+$B$9*($B$5*F230-$B$6*F230*G230))</f>
        <v>82.2732446262595</v>
      </c>
      <c r="G231">
        <f t="shared" si="7"/>
        <v>35.2488779507235</v>
      </c>
    </row>
    <row r="232" spans="5:7">
      <c r="E232">
        <f t="shared" si="6"/>
        <v>114</v>
      </c>
      <c r="F232">
        <f>MAX(0,F231+$B$9*($B$5*F231-$B$6*F231*G231))</f>
        <v>83.4868672991314</v>
      </c>
      <c r="G232">
        <f t="shared" si="7"/>
        <v>34.9364538324078</v>
      </c>
    </row>
    <row r="233" spans="5:7">
      <c r="E233">
        <f t="shared" si="6"/>
        <v>114.5</v>
      </c>
      <c r="F233">
        <f>MAX(0,F232+$B$9*($B$5*F232-$B$6*F232*G232))</f>
        <v>84.7444755790796</v>
      </c>
      <c r="G233">
        <f t="shared" si="7"/>
        <v>34.6479986832916</v>
      </c>
    </row>
    <row r="234" spans="5:7">
      <c r="E234">
        <f t="shared" si="6"/>
        <v>115</v>
      </c>
      <c r="F234">
        <f>MAX(0,F233+$B$9*($B$5*F233-$B$6*F233*G233))</f>
        <v>86.0454728797533</v>
      </c>
      <c r="G234">
        <f t="shared" si="7"/>
        <v>34.3837119882672</v>
      </c>
    </row>
    <row r="235" spans="5:7">
      <c r="E235">
        <f t="shared" si="6"/>
        <v>115.5</v>
      </c>
      <c r="F235">
        <f>MAX(0,F234+$B$9*($B$5*F234-$B$6*F234*G234))</f>
        <v>87.3891837663493</v>
      </c>
      <c r="G235">
        <f t="shared" si="7"/>
        <v>34.1438077675496</v>
      </c>
    </row>
    <row r="236" spans="5:7">
      <c r="E236">
        <f t="shared" si="6"/>
        <v>116</v>
      </c>
      <c r="F236">
        <f>MAX(0,F235+$B$9*($B$5*F235-$B$6*F235*G235))</f>
        <v>88.7748434631855</v>
      </c>
      <c r="G236">
        <f t="shared" si="7"/>
        <v>33.9285171249128</v>
      </c>
    </row>
    <row r="237" spans="5:7">
      <c r="E237">
        <f t="shared" si="6"/>
        <v>116.5</v>
      </c>
      <c r="F237">
        <f>MAX(0,F236+$B$9*($B$5*F236-$B$6*F236*G236))</f>
        <v>90.2015868396426</v>
      </c>
      <c r="G237">
        <f t="shared" si="7"/>
        <v>33.7380906670182</v>
      </c>
    </row>
    <row r="238" spans="5:7">
      <c r="E238">
        <f t="shared" si="6"/>
        <v>117</v>
      </c>
      <c r="F238">
        <f>MAX(0,F237+$B$9*($B$5*F237-$B$6*F237*G237))</f>
        <v>91.66843686652</v>
      </c>
      <c r="G238">
        <f t="shared" si="7"/>
        <v>33.5728007912197</v>
      </c>
    </row>
    <row r="239" spans="5:7">
      <c r="E239">
        <f t="shared" si="6"/>
        <v>117.5</v>
      </c>
      <c r="F239">
        <f>MAX(0,F238+$B$9*($B$5*F238-$B$6*F238*G238))</f>
        <v>93.1742925400838</v>
      </c>
      <c r="G239">
        <f t="shared" si="7"/>
        <v>33.4329438365398</v>
      </c>
    </row>
    <row r="240" spans="5:7">
      <c r="E240">
        <f t="shared" si="6"/>
        <v>118</v>
      </c>
      <c r="F240">
        <f>MAX(0,F239+$B$9*($B$5*F239-$B$6*F239*G239))</f>
        <v>94.717916277586</v>
      </c>
      <c r="G240">
        <f t="shared" si="7"/>
        <v>33.3188420894638</v>
      </c>
    </row>
    <row r="241" spans="5:7">
      <c r="E241">
        <f t="shared" si="6"/>
        <v>118.5</v>
      </c>
      <c r="F241">
        <f>MAX(0,F240+$B$9*($B$5*F240-$B$6*F240*G240))</f>
        <v>96.2979207959694</v>
      </c>
      <c r="G241">
        <f t="shared" si="7"/>
        <v>33.2308456327386</v>
      </c>
    </row>
    <row r="242" spans="5:7">
      <c r="E242">
        <f t="shared" si="6"/>
        <v>119</v>
      </c>
      <c r="F242">
        <f>MAX(0,F241+$B$9*($B$5*F241-$B$6*F241*G241))</f>
        <v>97.9127554950433</v>
      </c>
      <c r="G242">
        <f t="shared" si="7"/>
        <v>33.1693340214639</v>
      </c>
    </row>
    <row r="243" spans="5:7">
      <c r="E243">
        <f t="shared" si="6"/>
        <v>119.5</v>
      </c>
      <c r="F243">
        <f>MAX(0,F242+$B$9*($B$5*F242-$B$6*F242*G242))</f>
        <v>99.5606923778184</v>
      </c>
      <c r="G243">
        <f t="shared" si="7"/>
        <v>33.1347177663793</v>
      </c>
    </row>
    <row r="244" spans="5:7">
      <c r="E244">
        <f t="shared" si="6"/>
        <v>120</v>
      </c>
      <c r="F244">
        <f>MAX(0,F243+$B$9*($B$5*F243-$B$6*F243*G243))</f>
        <v>101.239811554145</v>
      </c>
      <c r="G244">
        <f t="shared" si="7"/>
        <v>33.1274395993425</v>
      </c>
    </row>
    <row r="245" spans="5:7">
      <c r="E245">
        <f t="shared" si="6"/>
        <v>120.5</v>
      </c>
      <c r="F245">
        <f>MAX(0,F244+$B$9*($B$5*F244-$B$6*F244*G244))</f>
        <v>102.947986389544</v>
      </c>
      <c r="G245">
        <f t="shared" si="7"/>
        <v>33.1479754905297</v>
      </c>
    </row>
    <row r="246" spans="5:7">
      <c r="E246">
        <f t="shared" si="6"/>
        <v>121</v>
      </c>
      <c r="F246">
        <f>MAX(0,F245+$B$9*($B$5*F245-$B$6*F245*G245))</f>
        <v>104.682868379381</v>
      </c>
      <c r="G246">
        <f t="shared" si="7"/>
        <v>33.1968353808232</v>
      </c>
    </row>
    <row r="247" spans="5:7">
      <c r="E247">
        <f t="shared" si="6"/>
        <v>121.5</v>
      </c>
      <c r="F247">
        <f>MAX(0,F246+$B$9*($B$5*F246-$B$6*F246*G246))</f>
        <v>106.441871849567</v>
      </c>
      <c r="G247">
        <f t="shared" si="7"/>
        <v>33.2745635861734</v>
      </c>
    </row>
    <row r="248" spans="5:7">
      <c r="E248">
        <f t="shared" si="6"/>
        <v>122</v>
      </c>
      <c r="F248">
        <f>MAX(0,F247+$B$9*($B$5*F247-$B$6*F247*G247))</f>
        <v>108.222158608956</v>
      </c>
      <c r="G248">
        <f t="shared" si="7"/>
        <v>33.3817388234096</v>
      </c>
    </row>
    <row r="249" spans="5:7">
      <c r="E249">
        <f t="shared" si="6"/>
        <v>122.5</v>
      </c>
      <c r="F249">
        <f>MAX(0,F248+$B$9*($B$5*F248-$B$6*F248*G248))</f>
        <v>110.020622705814</v>
      </c>
      <c r="G249">
        <f t="shared" si="7"/>
        <v>33.518973799034</v>
      </c>
    </row>
    <row r="250" spans="5:7">
      <c r="E250">
        <f t="shared" si="6"/>
        <v>123</v>
      </c>
      <c r="F250">
        <f>MAX(0,F249+$B$9*($B$5*F249-$B$6*F249*G249))</f>
        <v>111.833875471275</v>
      </c>
      <c r="G250">
        <f t="shared" si="7"/>
        <v>33.6869142939971</v>
      </c>
    </row>
    <row r="251" spans="5:7">
      <c r="E251">
        <f t="shared" si="6"/>
        <v>123.5</v>
      </c>
      <c r="F251">
        <f>MAX(0,F250+$B$9*($B$5*F250-$B$6*F250*G250))</f>
        <v>113.658231066672</v>
      </c>
      <c r="G251">
        <f t="shared" si="7"/>
        <v>33.8862376683804</v>
      </c>
    </row>
    <row r="252" spans="5:7">
      <c r="E252">
        <f t="shared" si="6"/>
        <v>124</v>
      </c>
      <c r="F252">
        <f>MAX(0,F251+$B$9*($B$5*F251-$B$6*F251*G251))</f>
        <v>115.489692789113</v>
      </c>
      <c r="G252">
        <f t="shared" si="7"/>
        <v>34.1176507004079</v>
      </c>
    </row>
    <row r="253" spans="5:7">
      <c r="E253">
        <f t="shared" si="6"/>
        <v>124.5</v>
      </c>
      <c r="F253">
        <f>MAX(0,F252+$B$9*($B$5*F252-$B$6*F252*G252))</f>
        <v>117.323940430492</v>
      </c>
      <c r="G253">
        <f t="shared" si="7"/>
        <v>34.3818866644257</v>
      </c>
    </row>
    <row r="254" spans="5:7">
      <c r="E254">
        <f t="shared" si="6"/>
        <v>125</v>
      </c>
      <c r="F254">
        <f>MAX(0,F253+$B$9*($B$5*F253-$B$6*F253*G253))</f>
        <v>119.156319029112</v>
      </c>
      <c r="G254">
        <f t="shared" si="7"/>
        <v>34.6797015426569</v>
      </c>
    </row>
    <row r="255" spans="5:7">
      <c r="E255">
        <f t="shared" si="6"/>
        <v>125.5</v>
      </c>
      <c r="F255">
        <f>MAX(0,F254+$B$9*($B$5*F254-$B$6*F254*G254))</f>
        <v>120.981829399716</v>
      </c>
      <c r="G255">
        <f t="shared" si="7"/>
        <v>35.0118692559496</v>
      </c>
    </row>
    <row r="256" spans="5:7">
      <c r="E256">
        <f t="shared" si="6"/>
        <v>126</v>
      </c>
      <c r="F256">
        <f>MAX(0,F255+$B$9*($B$5*F255-$B$6*F255*G255))</f>
        <v>122.795120876413</v>
      </c>
      <c r="G256">
        <f t="shared" si="7"/>
        <v>35.3791757897964</v>
      </c>
    </row>
    <row r="257" spans="5:7">
      <c r="E257">
        <f t="shared" si="6"/>
        <v>126.5</v>
      </c>
      <c r="F257">
        <f>MAX(0,F256+$B$9*($B$5*F256-$B$6*F256*G256))</f>
        <v>124.590486752618</v>
      </c>
      <c r="G257">
        <f t="shared" si="7"/>
        <v>35.7824120841145</v>
      </c>
    </row>
    <row r="258" spans="5:7">
      <c r="E258">
        <f t="shared" si="6"/>
        <v>127</v>
      </c>
      <c r="F258">
        <f>MAX(0,F257+$B$9*($B$5*F257-$B$6*F257*G257))</f>
        <v>126.361862951507</v>
      </c>
      <c r="G258">
        <f t="shared" si="7"/>
        <v>36.2223655492801</v>
      </c>
    </row>
    <row r="259" spans="5:7">
      <c r="E259">
        <f t="shared" si="6"/>
        <v>127.5</v>
      </c>
      <c r="F259">
        <f>MAX(0,F258+$B$9*($B$5*F258-$B$6*F258*G258))</f>
        <v>128.102830507764</v>
      </c>
      <c r="G259">
        <f t="shared" si="7"/>
        <v>36.6998100674748</v>
      </c>
    </row>
    <row r="260" spans="5:7">
      <c r="E260">
        <f t="shared" si="6"/>
        <v>128</v>
      </c>
      <c r="F260">
        <f>MAX(0,F259+$B$9*($B$5*F259-$B$6*F259*G259))</f>
        <v>129.806622484412</v>
      </c>
      <c r="G260">
        <f t="shared" si="7"/>
        <v>37.2154943384715</v>
      </c>
    </row>
    <row r="261" spans="5:7">
      <c r="E261">
        <f t="shared" ref="E261:E323" si="8">E260+$B$9</f>
        <v>128.5</v>
      </c>
      <c r="F261">
        <f>MAX(0,F260+$B$9*($B$5*F260-$B$6*F260*G260))</f>
        <v>131.466135984468</v>
      </c>
      <c r="G261">
        <f t="shared" ref="G261:G323" si="9">MAX(0,G260+$B$9*(-$B$7*G260+$B$8*F260*G260))</f>
        <v>37.7701284336303</v>
      </c>
    </row>
    <row r="262" spans="5:7">
      <c r="E262">
        <f t="shared" si="8"/>
        <v>129</v>
      </c>
      <c r="F262">
        <f>MAX(0,F261+$B$9*($B$5*F261-$B$6*F261*G261))</f>
        <v>133.073949942884</v>
      </c>
      <c r="G262">
        <f t="shared" si="9"/>
        <v>38.364368432352</v>
      </c>
    </row>
    <row r="263" spans="5:7">
      <c r="E263">
        <f t="shared" si="8"/>
        <v>129.5</v>
      </c>
      <c r="F263">
        <f>MAX(0,F262+$B$9*($B$5*F262-$B$6*F262*G262))</f>
        <v>134.622349395672</v>
      </c>
      <c r="G263">
        <f t="shared" si="9"/>
        <v>38.998799032913</v>
      </c>
    </row>
    <row r="264" spans="5:7">
      <c r="E264">
        <f t="shared" si="8"/>
        <v>130</v>
      </c>
      <c r="F264">
        <f>MAX(0,F263+$B$9*($B$5*F263-$B$6*F263*G263))</f>
        <v>136.103356916035</v>
      </c>
      <c r="G264">
        <f t="shared" si="9"/>
        <v>39.6739140559776</v>
      </c>
    </row>
    <row r="265" spans="5:7">
      <c r="E265">
        <f t="shared" si="8"/>
        <v>130.5</v>
      </c>
      <c r="F265">
        <f>MAX(0,F264+$B$9*($B$5*F264-$B$6*F264*G264))</f>
        <v>137.50877187682</v>
      </c>
      <c r="G265">
        <f t="shared" si="9"/>
        <v>40.3900947956871</v>
      </c>
    </row>
    <row r="266" spans="5:7">
      <c r="E266">
        <f t="shared" si="8"/>
        <v>131</v>
      </c>
      <c r="F266">
        <f>MAX(0,F265+$B$9*($B$5*F265-$B$6*F265*G265))</f>
        <v>138.830218139317</v>
      </c>
      <c r="G266">
        <f t="shared" si="9"/>
        <v>41.1475862215744</v>
      </c>
    </row>
    <row r="267" spans="5:7">
      <c r="E267">
        <f t="shared" si="8"/>
        <v>131.5</v>
      </c>
      <c r="F267">
        <f>MAX(0,F266+$B$9*($B$5*F266-$B$6*F266*G266))</f>
        <v>140.059200675236</v>
      </c>
      <c r="G267">
        <f t="shared" si="9"/>
        <v>41.9464710960194</v>
      </c>
    </row>
    <row r="268" spans="5:7">
      <c r="E268">
        <f t="shared" si="8"/>
        <v>132</v>
      </c>
      <c r="F268">
        <f>MAX(0,F267+$B$9*($B$5*F267-$B$6*F267*G267))</f>
        <v>141.187171496142</v>
      </c>
      <c r="G268">
        <f t="shared" si="9"/>
        <v>42.7866421476461</v>
      </c>
    </row>
    <row r="269" spans="5:7">
      <c r="E269">
        <f t="shared" si="8"/>
        <v>132.5</v>
      </c>
      <c r="F269">
        <f>MAX(0,F268+$B$9*($B$5*F268-$B$6*F268*G268))</f>
        <v>142.205605088305</v>
      </c>
      <c r="G269">
        <f t="shared" si="9"/>
        <v>43.6677725315857</v>
      </c>
    </row>
    <row r="270" spans="5:7">
      <c r="E270">
        <f t="shared" si="8"/>
        <v>133</v>
      </c>
      <c r="F270">
        <f>MAX(0,F269+$B$9*($B$5*F269-$B$6*F269*G269))</f>
        <v>143.106083327008</v>
      </c>
      <c r="G270">
        <f t="shared" si="9"/>
        <v>44.5892849128628</v>
      </c>
    </row>
    <row r="271" spans="5:7">
      <c r="E271">
        <f t="shared" si="8"/>
        <v>133.5</v>
      </c>
      <c r="F271">
        <f>MAX(0,F270+$B$9*($B$5*F270-$B$6*F270*G270))</f>
        <v>143.880389571127</v>
      </c>
      <c r="G271">
        <f t="shared" si="9"/>
        <v>45.5503196283356</v>
      </c>
    </row>
    <row r="272" spans="5:7">
      <c r="E272">
        <f t="shared" si="8"/>
        <v>134</v>
      </c>
      <c r="F272">
        <f>MAX(0,F271+$B$9*($B$5*F271-$B$6*F271*G271))</f>
        <v>144.520611316469</v>
      </c>
      <c r="G272">
        <f t="shared" si="9"/>
        <v>46.5497025135259</v>
      </c>
    </row>
    <row r="273" spans="5:7">
      <c r="E273">
        <f t="shared" si="8"/>
        <v>134.5</v>
      </c>
      <c r="F273">
        <f>MAX(0,F272+$B$9*($B$5*F272-$B$6*F272*G272))</f>
        <v>145.019250418438</v>
      </c>
      <c r="G273">
        <f t="shared" si="9"/>
        <v>47.5859131197769</v>
      </c>
    </row>
    <row r="274" spans="5:7">
      <c r="E274">
        <f t="shared" si="8"/>
        <v>135</v>
      </c>
      <c r="F274">
        <f>MAX(0,F273+$B$9*($B$5*F273-$B$6*F273*G273))</f>
        <v>145.369339488253</v>
      </c>
      <c r="G274">
        <f t="shared" si="9"/>
        <v>48.6570541893415</v>
      </c>
    </row>
    <row r="275" spans="5:7">
      <c r="E275">
        <f t="shared" si="8"/>
        <v>135.5</v>
      </c>
      <c r="F275">
        <f>MAX(0,F274+$B$9*($B$5*F274-$B$6*F274*G274))</f>
        <v>145.564562633717</v>
      </c>
      <c r="G275">
        <f t="shared" si="9"/>
        <v>49.7608233943488</v>
      </c>
    </row>
    <row r="276" spans="5:7">
      <c r="E276">
        <f t="shared" si="8"/>
        <v>136</v>
      </c>
      <c r="F276">
        <f>MAX(0,F275+$B$9*($B$5*F275-$B$6*F275*G275))</f>
        <v>145.59937827171</v>
      </c>
      <c r="G276">
        <f t="shared" si="9"/>
        <v>50.8944884714773</v>
      </c>
    </row>
    <row r="277" spans="5:7">
      <c r="E277">
        <f t="shared" si="8"/>
        <v>136.5</v>
      </c>
      <c r="F277">
        <f>MAX(0,F276+$B$9*($B$5*F276-$B$6*F276*G276))</f>
        <v>145.469141306392</v>
      </c>
      <c r="G277">
        <f t="shared" si="9"/>
        <v>52.0548669873554</v>
      </c>
    </row>
    <row r="278" spans="5:7">
      <c r="E278">
        <f t="shared" si="8"/>
        <v>137</v>
      </c>
      <c r="F278">
        <f>MAX(0,F277+$B$9*($B$5*F277-$B$6*F277*G277))</f>
        <v>145.170221570243</v>
      </c>
      <c r="G278">
        <f t="shared" si="9"/>
        <v>53.2383120387221</v>
      </c>
    </row>
    <row r="279" spans="5:7">
      <c r="E279">
        <f t="shared" si="8"/>
        <v>137.5</v>
      </c>
      <c r="F279">
        <f>MAX(0,F278+$B$9*($B$5*F278-$B$6*F278*G278))</f>
        <v>144.700115094068</v>
      </c>
      <c r="G279">
        <f t="shared" si="9"/>
        <v>54.4407052141295</v>
      </c>
    </row>
    <row r="280" spans="5:7">
      <c r="E280">
        <f t="shared" si="8"/>
        <v>138</v>
      </c>
      <c r="F280">
        <f>MAX(0,F279+$B$9*($B$5*F279-$B$6*F279*G279))</f>
        <v>144.057544538484</v>
      </c>
      <c r="G280">
        <f t="shared" si="9"/>
        <v>55.6574581085664</v>
      </c>
    </row>
    <row r="281" spans="5:7">
      <c r="E281">
        <f t="shared" si="8"/>
        <v>138.5</v>
      </c>
      <c r="F281">
        <f>MAX(0,F280+$B$9*($B$5*F280-$B$6*F280*G280))</f>
        <v>143.242545015035</v>
      </c>
      <c r="G281">
        <f t="shared" si="9"/>
        <v>56.8835235783249</v>
      </c>
    </row>
    <row r="282" spans="5:7">
      <c r="E282">
        <f t="shared" si="8"/>
        <v>139</v>
      </c>
      <c r="F282">
        <f>MAX(0,F281+$B$9*($B$5*F281-$B$6*F281*G281))</f>
        <v>142.256531579005</v>
      </c>
      <c r="G282">
        <f t="shared" si="9"/>
        <v>58.1134177427997</v>
      </c>
    </row>
    <row r="283" spans="5:7">
      <c r="E283">
        <f t="shared" si="8"/>
        <v>139.5</v>
      </c>
      <c r="F283">
        <f>MAX(0,F282+$B$9*($B$5*F282-$B$6*F282*G282))</f>
        <v>141.102344911662</v>
      </c>
      <c r="G283">
        <f t="shared" si="9"/>
        <v>59.3412534788059</v>
      </c>
    </row>
    <row r="284" spans="5:7">
      <c r="E284">
        <f t="shared" si="8"/>
        <v>140</v>
      </c>
      <c r="F284">
        <f>MAX(0,F283+$B$9*($B$5*F283-$B$6*F283*G283))</f>
        <v>139.784272141389</v>
      </c>
      <c r="G284">
        <f t="shared" si="9"/>
        <v>60.5607858127941</v>
      </c>
    </row>
    <row r="285" spans="5:7">
      <c r="E285">
        <f t="shared" si="8"/>
        <v>140.5</v>
      </c>
      <c r="F285">
        <f>MAX(0,F284+$B$9*($B$5*F284-$B$6*F284*G284))</f>
        <v>138.308040383306</v>
      </c>
      <c r="G285">
        <f t="shared" si="9"/>
        <v>61.7654692047303</v>
      </c>
    </row>
    <row r="286" spans="5:7">
      <c r="E286">
        <f t="shared" si="8"/>
        <v>141</v>
      </c>
      <c r="F286">
        <f>MAX(0,F285+$B$9*($B$5*F285-$B$6*F285*G285))</f>
        <v>136.68078139341</v>
      </c>
      <c r="G286">
        <f t="shared" si="9"/>
        <v>62.9485262490247</v>
      </c>
    </row>
    <row r="287" spans="5:7">
      <c r="E287">
        <f t="shared" si="8"/>
        <v>141.5</v>
      </c>
      <c r="F287">
        <f>MAX(0,F286+$B$9*($B$5*F286-$B$6*F286*G286))</f>
        <v>134.9109667078</v>
      </c>
      <c r="G287">
        <f t="shared" si="9"/>
        <v>64.1030268142136</v>
      </c>
    </row>
    <row r="288" spans="5:7">
      <c r="E288">
        <f t="shared" si="8"/>
        <v>142</v>
      </c>
      <c r="F288">
        <f>MAX(0,F287+$B$9*($B$5*F287-$B$6*F287*G287))</f>
        <v>133.008313726788</v>
      </c>
      <c r="G288">
        <f t="shared" si="9"/>
        <v>65.2219761317037</v>
      </c>
    </row>
    <row r="289" spans="5:7">
      <c r="E289">
        <f t="shared" si="8"/>
        <v>142.5</v>
      </c>
      <c r="F289">
        <f>MAX(0,F288+$B$9*($B$5*F288-$B$6*F288*G288))</f>
        <v>130.983664349921</v>
      </c>
      <c r="G289">
        <f t="shared" si="9"/>
        <v>66.2984098567219</v>
      </c>
    </row>
    <row r="290" spans="5:7">
      <c r="E290">
        <f t="shared" si="8"/>
        <v>143</v>
      </c>
      <c r="F290">
        <f>MAX(0,F289+$B$9*($B$5*F289-$B$6*F289*G289))</f>
        <v>128.848838903811</v>
      </c>
      <c r="G290">
        <f t="shared" si="9"/>
        <v>67.3254936956889</v>
      </c>
    </row>
    <row r="291" spans="5:7">
      <c r="E291">
        <f t="shared" si="8"/>
        <v>143.5</v>
      </c>
      <c r="F291">
        <f>MAX(0,F290+$B$9*($B$5*F290-$B$6*F290*G290))</f>
        <v>126.616469157686</v>
      </c>
      <c r="G291">
        <f t="shared" si="9"/>
        <v>68.2966248565622</v>
      </c>
    </row>
    <row r="292" spans="5:7">
      <c r="E292">
        <f t="shared" si="8"/>
        <v>144</v>
      </c>
      <c r="F292">
        <f>MAX(0,F291+$B$9*($B$5*F291-$B$6*F291*G291))</f>
        <v>124.299815120845</v>
      </c>
      <c r="G292">
        <f t="shared" si="9"/>
        <v>69.2055323610965</v>
      </c>
    </row>
    <row r="293" spans="5:7">
      <c r="E293">
        <f t="shared" si="8"/>
        <v>144.5</v>
      </c>
      <c r="F293">
        <f>MAX(0,F292+$B$9*($B$5*F292-$B$6*F292*G292))</f>
        <v>121.912570999064</v>
      </c>
      <c r="G293">
        <f t="shared" si="9"/>
        <v>70.0463731819537</v>
      </c>
    </row>
    <row r="294" spans="5:7">
      <c r="E294">
        <f t="shared" si="8"/>
        <v>145</v>
      </c>
      <c r="F294">
        <f>MAX(0,F293+$B$9*($B$5*F293-$B$6*F293*G293))</f>
        <v>119.468666105245</v>
      </c>
      <c r="G294">
        <f t="shared" si="9"/>
        <v>70.8138212447419</v>
      </c>
    </row>
    <row r="295" spans="5:7">
      <c r="E295">
        <f t="shared" si="8"/>
        <v>145.5</v>
      </c>
      <c r="F295">
        <f>MAX(0,F294+$B$9*($B$5*F294-$B$6*F294*G294))</f>
        <v>116.982066644583</v>
      </c>
      <c r="G295">
        <f t="shared" si="9"/>
        <v>71.5031465654671</v>
      </c>
    </row>
    <row r="296" spans="5:7">
      <c r="E296">
        <f t="shared" si="8"/>
        <v>146</v>
      </c>
      <c r="F296">
        <f>MAX(0,F295+$B$9*($B$5*F295-$B$6*F295*G295))</f>
        <v>114.466584119993</v>
      </c>
      <c r="G296">
        <f t="shared" si="9"/>
        <v>72.1102821656032</v>
      </c>
    </row>
    <row r="297" spans="5:7">
      <c r="E297">
        <f t="shared" si="8"/>
        <v>146.5</v>
      </c>
      <c r="F297">
        <f>MAX(0,F296+$B$9*($B$5*F296-$B$6*F296*G296))</f>
        <v>111.935695646567</v>
      </c>
      <c r="G297">
        <f t="shared" si="9"/>
        <v>72.6318768970358</v>
      </c>
    </row>
    <row r="298" spans="5:7">
      <c r="E298">
        <f t="shared" si="8"/>
        <v>147</v>
      </c>
      <c r="F298">
        <f>MAX(0,F297+$B$9*($B$5*F297-$B$6*F297*G297))</f>
        <v>109.40238076231</v>
      </c>
      <c r="G298">
        <f t="shared" si="9"/>
        <v>73.0653328854767</v>
      </c>
    </row>
    <row r="299" spans="5:7">
      <c r="E299">
        <f t="shared" si="8"/>
        <v>147.5</v>
      </c>
      <c r="F299">
        <f>MAX(0,F298+$B$9*($B$5*F298-$B$6*F298*G298))</f>
        <v>106.878978431564</v>
      </c>
      <c r="G299">
        <f t="shared" si="9"/>
        <v>73.4088269256338</v>
      </c>
    </row>
    <row r="300" spans="5:7">
      <c r="E300">
        <f t="shared" si="8"/>
        <v>148</v>
      </c>
      <c r="F300">
        <f>MAX(0,F299+$B$9*($B$5*F299-$B$6*F299*G299))</f>
        <v>104.377066923471</v>
      </c>
      <c r="G300">
        <f t="shared" si="9"/>
        <v>73.6613157941877</v>
      </c>
    </row>
    <row r="301" spans="5:7">
      <c r="E301">
        <f t="shared" si="8"/>
        <v>148.5</v>
      </c>
      <c r="F301">
        <f>MAX(0,F300+$B$9*($B$5*F300-$B$6*F300*G300))</f>
        <v>101.907368181323</v>
      </c>
      <c r="G301">
        <f t="shared" si="9"/>
        <v>73.8225260486388</v>
      </c>
    </row>
    <row r="302" spans="5:7">
      <c r="E302">
        <f t="shared" si="8"/>
        <v>149</v>
      </c>
      <c r="F302">
        <f>MAX(0,F301+$B$9*($B$5*F301-$B$6*F301*G301))</f>
        <v>99.4796772482755</v>
      </c>
      <c r="G302">
        <f t="shared" si="9"/>
        <v>73.8929294172638</v>
      </c>
    </row>
    <row r="303" spans="5:7">
      <c r="E303">
        <f t="shared" si="8"/>
        <v>149.5</v>
      </c>
      <c r="F303">
        <f>MAX(0,F302+$B$9*($B$5*F302-$B$6*F302*G302))</f>
        <v>97.1028163413303</v>
      </c>
      <c r="G303">
        <f t="shared" si="9"/>
        <v>73.8737053310801</v>
      </c>
    </row>
    <row r="304" spans="5:7">
      <c r="E304">
        <f t="shared" si="8"/>
        <v>150</v>
      </c>
      <c r="F304">
        <f>MAX(0,F303+$B$9*($B$5*F303-$B$6*F303*G303))</f>
        <v>94.7846123171794</v>
      </c>
      <c r="G304">
        <f t="shared" si="9"/>
        <v>73.7666924851348</v>
      </c>
    </row>
    <row r="305" spans="5:7">
      <c r="E305">
        <f t="shared" si="8"/>
        <v>150.5</v>
      </c>
      <c r="F305">
        <f>MAX(0,F304+$B$9*($B$5*F304-$B$6*F304*G304))</f>
        <v>92.5318955839143</v>
      </c>
      <c r="G305">
        <f t="shared" si="9"/>
        <v>73.5743315354402</v>
      </c>
    </row>
    <row r="306" spans="5:7">
      <c r="E306">
        <f t="shared" si="8"/>
        <v>151</v>
      </c>
      <c r="F306">
        <f>MAX(0,F305+$B$9*($B$5*F305-$B$6*F305*G305))</f>
        <v>90.3505179998163</v>
      </c>
      <c r="G306">
        <f t="shared" si="9"/>
        <v>73.299601140315</v>
      </c>
    </row>
    <row r="307" spans="5:7">
      <c r="E307">
        <f t="shared" si="8"/>
        <v>151.5</v>
      </c>
      <c r="F307">
        <f>MAX(0,F306+$B$9*($B$5*F306-$B$6*F306*G306))</f>
        <v>88.2453869675998</v>
      </c>
      <c r="G307">
        <f t="shared" si="9"/>
        <v>72.9459495494029</v>
      </c>
    </row>
    <row r="308" spans="5:7">
      <c r="E308">
        <f t="shared" si="8"/>
        <v>152</v>
      </c>
      <c r="F308">
        <f>MAX(0,F307+$B$9*($B$5*F307-$B$6*F307*G307))</f>
        <v>86.2205127702737</v>
      </c>
      <c r="G308">
        <f t="shared" si="9"/>
        <v>72.5172238447858</v>
      </c>
    </row>
    <row r="309" spans="5:7">
      <c r="E309">
        <f t="shared" si="8"/>
        <v>152.5</v>
      </c>
      <c r="F309">
        <f>MAX(0,F308+$B$9*($B$5*F308-$B$6*F308*G308))</f>
        <v>84.2790661842132</v>
      </c>
      <c r="G309">
        <f t="shared" si="9"/>
        <v>72.0175987648336</v>
      </c>
    </row>
    <row r="310" spans="5:7">
      <c r="E310">
        <f t="shared" si="8"/>
        <v>153</v>
      </c>
      <c r="F310">
        <f>MAX(0,F309+$B$9*($B$5*F309-$B$6*F309*G309))</f>
        <v>82.4234435206944</v>
      </c>
      <c r="G310">
        <f t="shared" si="9"/>
        <v>71.4515068129567</v>
      </c>
    </row>
    <row r="311" spans="5:7">
      <c r="E311">
        <f t="shared" si="8"/>
        <v>153.5</v>
      </c>
      <c r="F311">
        <f>MAX(0,F310+$B$9*($B$5*F310-$B$6*F310*G310))</f>
        <v>80.6553364604628</v>
      </c>
      <c r="G311">
        <f t="shared" si="9"/>
        <v>70.823571090442</v>
      </c>
    </row>
    <row r="312" spans="5:7">
      <c r="E312">
        <f t="shared" si="8"/>
        <v>154</v>
      </c>
      <c r="F312">
        <f>MAX(0,F311+$B$9*($B$5*F311-$B$6*F311*G311))</f>
        <v>78.9758043278549</v>
      </c>
      <c r="G312">
        <f t="shared" si="9"/>
        <v>70.1385420137354</v>
      </c>
    </row>
    <row r="313" spans="5:7">
      <c r="E313">
        <f t="shared" si="8"/>
        <v>154.5</v>
      </c>
      <c r="F313">
        <f>MAX(0,F312+$B$9*($B$5*F312-$B$6*F312*G312))</f>
        <v>77.3853467743298</v>
      </c>
      <c r="G313">
        <f t="shared" si="9"/>
        <v>69.4012387980076</v>
      </c>
    </row>
    <row r="314" spans="5:7">
      <c r="E314">
        <f t="shared" si="8"/>
        <v>155</v>
      </c>
      <c r="F314">
        <f>MAX(0,F313+$B$9*($B$5*F313-$B$6*F313*G313))</f>
        <v>75.8839751820944</v>
      </c>
      <c r="G314">
        <f t="shared" si="9"/>
        <v>68.6164963235831</v>
      </c>
    </row>
    <row r="315" spans="5:7">
      <c r="E315">
        <f t="shared" si="8"/>
        <v>155.5</v>
      </c>
      <c r="F315">
        <f>MAX(0,F314+$B$9*($B$5*F314-$B$6*F314*G314))</f>
        <v>74.4712814370981</v>
      </c>
      <c r="G315">
        <f t="shared" si="9"/>
        <v>67.7891177594545</v>
      </c>
    </row>
    <row r="316" spans="5:7">
      <c r="E316">
        <f t="shared" si="8"/>
        <v>156</v>
      </c>
      <c r="F316">
        <f>MAX(0,F315+$B$9*($B$5*F315-$B$6*F315*G315))</f>
        <v>73.1465030419161</v>
      </c>
      <c r="G316">
        <f t="shared" si="9"/>
        <v>66.9238331050002</v>
      </c>
    </row>
    <row r="317" spans="5:7">
      <c r="E317">
        <f t="shared" si="8"/>
        <v>156.5</v>
      </c>
      <c r="F317">
        <f>MAX(0,F316+$B$9*($B$5*F316-$B$6*F316*G316))</f>
        <v>71.9085838322203</v>
      </c>
      <c r="G317">
        <f t="shared" si="9"/>
        <v>66.025263630646</v>
      </c>
    </row>
    <row r="318" spans="5:7">
      <c r="E318">
        <f t="shared" si="8"/>
        <v>157</v>
      </c>
      <c r="F318">
        <f>MAX(0,F317+$B$9*($B$5*F317-$B$6*F317*G317))</f>
        <v>70.7562298190026</v>
      </c>
      <c r="G318">
        <f t="shared" si="9"/>
        <v>65.0978920515281</v>
      </c>
    </row>
    <row r="319" spans="5:7">
      <c r="E319">
        <f t="shared" si="8"/>
        <v>157.5</v>
      </c>
      <c r="F319">
        <f>MAX(0,F318+$B$9*($B$5*F318-$B$6*F318*G318))</f>
        <v>69.6879598992221</v>
      </c>
      <c r="G319">
        <f t="shared" si="9"/>
        <v>64.146038154317</v>
      </c>
    </row>
    <row r="320" spans="5:7">
      <c r="E320">
        <f t="shared" si="8"/>
        <v>158</v>
      </c>
      <c r="F320">
        <f>MAX(0,F319+$B$9*($B$5*F319-$B$6*F319*G319))</f>
        <v>68.7021513595912</v>
      </c>
      <c r="G320">
        <f t="shared" si="9"/>
        <v>63.1738395138971</v>
      </c>
    </row>
    <row r="321" spans="5:7">
      <c r="E321">
        <f t="shared" si="8"/>
        <v>158.5</v>
      </c>
      <c r="F321">
        <f>MAX(0,F320+$B$9*($B$5*F320-$B$6*F320*G320))</f>
        <v>67.7970802433205</v>
      </c>
      <c r="G321">
        <f t="shared" si="9"/>
        <v>62.1852368803274</v>
      </c>
    </row>
    <row r="322" spans="5:7">
      <c r="E322">
        <f t="shared" si="8"/>
        <v>159</v>
      </c>
      <c r="F322">
        <f>MAX(0,F321+$B$9*($B$5*F321-$B$6*F321*G321))</f>
        <v>66.9709567607611</v>
      </c>
      <c r="G322">
        <f t="shared" si="9"/>
        <v>61.1839637836738</v>
      </c>
    </row>
    <row r="323" spans="5:7">
      <c r="E323">
        <f t="shared" si="8"/>
        <v>159.5</v>
      </c>
      <c r="F323">
        <f>MAX(0,F322+$B$9*($B$5*F322-$B$6*F322*G322))</f>
        <v>66.2219560057907</v>
      </c>
      <c r="G323">
        <f t="shared" si="9"/>
        <v>60.1735398909943</v>
      </c>
    </row>
  </sheetData>
  <mergeCells count="1">
    <mergeCell ref="A11:C1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workbookViewId="0">
      <selection activeCell="A1" sqref="A1"/>
    </sheetView>
  </sheetViews>
  <sheetFormatPr defaultColWidth="9" defaultRowHeight="16.8"/>
  <cols>
    <col min="1" max="1" width="22" customWidth="1"/>
    <col min="2" max="2" width="12" customWidth="1"/>
    <col min="3" max="3" width="30" customWidth="1"/>
    <col min="5" max="9" width="11" customWidth="1"/>
  </cols>
  <sheetData>
    <row r="1" ht="20.4" spans="1:1">
      <c r="A1" s="1" t="s">
        <v>58</v>
      </c>
    </row>
    <row r="3" spans="1:9">
      <c r="A3" s="4" t="s">
        <v>59</v>
      </c>
      <c r="B3" s="6">
        <v>1000</v>
      </c>
      <c r="C3" s="10" t="s">
        <v>60</v>
      </c>
      <c r="E3" s="9" t="s">
        <v>27</v>
      </c>
      <c r="F3" s="9" t="s">
        <v>61</v>
      </c>
      <c r="G3" s="9" t="s">
        <v>62</v>
      </c>
      <c r="H3" s="9" t="s">
        <v>63</v>
      </c>
      <c r="I3" s="9" t="s">
        <v>64</v>
      </c>
    </row>
    <row r="4" spans="1:9">
      <c r="A4" s="4" t="s">
        <v>65</v>
      </c>
      <c r="B4" s="6">
        <v>5</v>
      </c>
      <c r="C4" s="10" t="s">
        <v>66</v>
      </c>
      <c r="E4">
        <v>0</v>
      </c>
      <c r="F4">
        <f>$B$3-$B$4</f>
        <v>995</v>
      </c>
      <c r="G4">
        <f>$B$4</f>
        <v>5</v>
      </c>
      <c r="H4">
        <v>0</v>
      </c>
      <c r="I4">
        <v>0</v>
      </c>
    </row>
    <row r="5" spans="1:9">
      <c r="A5" s="4" t="s">
        <v>67</v>
      </c>
      <c r="B5" s="6">
        <v>0.4</v>
      </c>
      <c r="C5" s="10" t="s">
        <v>68</v>
      </c>
      <c r="E5">
        <f t="shared" ref="E5:E68" si="0">E4+1</f>
        <v>1</v>
      </c>
      <c r="F5">
        <f>MAX(0,F4-$B$5*F4*G4/$B$3)</f>
        <v>993.01</v>
      </c>
      <c r="G5">
        <f>MAX(0,G4+$B$5*F4*G4/$B$3-$B$6*G4-$B$7*G4)</f>
        <v>6.34</v>
      </c>
      <c r="H5">
        <f t="shared" ref="H5:H68" si="1">H4+$B$6*G4</f>
        <v>0.5</v>
      </c>
      <c r="I5">
        <f t="shared" ref="I5:I68" si="2">I4+$B$7*G4</f>
        <v>0.15</v>
      </c>
    </row>
    <row r="6" spans="1:9">
      <c r="A6" s="4" t="s">
        <v>69</v>
      </c>
      <c r="B6" s="6">
        <v>0.1</v>
      </c>
      <c r="C6" s="10" t="s">
        <v>70</v>
      </c>
      <c r="E6">
        <f t="shared" si="0"/>
        <v>2</v>
      </c>
      <c r="F6">
        <f>MAX(0,F5-$B$5*F5*G5/$B$3)</f>
        <v>990.49172664</v>
      </c>
      <c r="G6">
        <f>MAX(0,G5+$B$5*F5*G5/$B$3-$B$6*G5-$B$7*G5)</f>
        <v>8.03407336</v>
      </c>
      <c r="H6">
        <f t="shared" si="1"/>
        <v>1.134</v>
      </c>
      <c r="I6">
        <f t="shared" si="2"/>
        <v>0.3402</v>
      </c>
    </row>
    <row r="7" spans="1:9">
      <c r="A7" s="4" t="s">
        <v>71</v>
      </c>
      <c r="B7" s="6">
        <v>0.03</v>
      </c>
      <c r="C7" s="10" t="s">
        <v>72</v>
      </c>
      <c r="E7">
        <f t="shared" si="0"/>
        <v>3</v>
      </c>
      <c r="F7">
        <f>MAX(0,F6-$B$5*F6*G6/$B$3)</f>
        <v>987.30865336228</v>
      </c>
      <c r="G7">
        <f>MAX(0,G6+$B$5*F6*G6/$B$3-$B$6*G6-$B$7*G6)</f>
        <v>10.1727171009195</v>
      </c>
      <c r="H7">
        <f t="shared" si="1"/>
        <v>1.937407336</v>
      </c>
      <c r="I7">
        <f t="shared" si="2"/>
        <v>0.5812222008</v>
      </c>
    </row>
    <row r="8" spans="1:9">
      <c r="A8" s="7" t="s">
        <v>73</v>
      </c>
      <c r="B8" s="11">
        <f>$B$5/($B$6+$B$7)</f>
        <v>3.07692307692308</v>
      </c>
      <c r="E8">
        <f t="shared" si="0"/>
        <v>4</v>
      </c>
      <c r="F8">
        <f>MAX(0,F7-$B$5*F7*G7/$B$3)</f>
        <v>983.291208713503</v>
      </c>
      <c r="G8">
        <f>MAX(0,G7+$B$5*F7*G7/$B$3-$B$6*G7-$B$7*G7)</f>
        <v>12.8677085265777</v>
      </c>
      <c r="H8">
        <f t="shared" si="1"/>
        <v>2.95467904609195</v>
      </c>
      <c r="I8">
        <f t="shared" si="2"/>
        <v>0.886403713827586</v>
      </c>
    </row>
    <row r="9" spans="5:9">
      <c r="E9">
        <f t="shared" si="0"/>
        <v>5</v>
      </c>
      <c r="F9">
        <f>MAX(0,F8-$B$5*F8*G8/$B$3)</f>
        <v>978.230126845314</v>
      </c>
      <c r="G9">
        <f>MAX(0,G8+$B$5*F8*G8/$B$3-$B$6*G8-$B$7*G8)</f>
        <v>16.2559882863113</v>
      </c>
      <c r="H9">
        <f t="shared" si="1"/>
        <v>4.24144989874972</v>
      </c>
      <c r="I9">
        <f t="shared" si="2"/>
        <v>1.27243496962492</v>
      </c>
    </row>
    <row r="10" spans="1:9">
      <c r="A10" s="8" t="s">
        <v>74</v>
      </c>
      <c r="E10">
        <f t="shared" si="0"/>
        <v>6</v>
      </c>
      <c r="F10">
        <f>MAX(0,F9-$B$5*F9*G9/$B$3)</f>
        <v>971.869287851988</v>
      </c>
      <c r="G10">
        <f>MAX(0,G9+$B$5*F9*G9/$B$3-$B$6*G9-$B$7*G9)</f>
        <v>20.5035488024165</v>
      </c>
      <c r="H10">
        <f t="shared" si="1"/>
        <v>5.86704872738085</v>
      </c>
      <c r="I10">
        <f t="shared" si="2"/>
        <v>1.76011461821426</v>
      </c>
    </row>
    <row r="11" spans="5:9">
      <c r="E11">
        <f t="shared" si="0"/>
        <v>7</v>
      </c>
      <c r="F11">
        <f>MAX(0,F10-$B$5*F10*G10/$B$3)</f>
        <v>963.898580102771</v>
      </c>
      <c r="G11">
        <f>MAX(0,G10+$B$5*F10*G10/$B$3-$B$6*G10-$B$7*G10)</f>
        <v>25.8087952073196</v>
      </c>
      <c r="H11">
        <f t="shared" si="1"/>
        <v>7.9174036076225</v>
      </c>
      <c r="I11">
        <f t="shared" si="2"/>
        <v>2.37522108228675</v>
      </c>
    </row>
    <row r="12" spans="5:9">
      <c r="E12">
        <f t="shared" si="0"/>
        <v>8</v>
      </c>
      <c r="F12">
        <f>MAX(0,F11-$B$5*F11*G11/$B$3)</f>
        <v>953.947755680972</v>
      </c>
      <c r="G12">
        <f>MAX(0,G11+$B$5*F11*G11/$B$3-$B$6*G11-$B$7*G11)</f>
        <v>32.4044762521674</v>
      </c>
      <c r="H12">
        <f t="shared" si="1"/>
        <v>10.4982831283545</v>
      </c>
      <c r="I12">
        <f t="shared" si="2"/>
        <v>3.14948493850634</v>
      </c>
    </row>
    <row r="13" spans="5:9">
      <c r="E13">
        <f t="shared" si="0"/>
        <v>9</v>
      </c>
      <c r="F13">
        <f>MAX(0,F12-$B$5*F12*G12/$B$3)</f>
        <v>941.582884723063</v>
      </c>
      <c r="G13">
        <f>MAX(0,G12+$B$5*F12*G12/$B$3-$B$6*G12-$B$7*G12)</f>
        <v>40.5567652972946</v>
      </c>
      <c r="H13">
        <f t="shared" si="1"/>
        <v>13.7387307535712</v>
      </c>
      <c r="I13">
        <f t="shared" si="2"/>
        <v>4.12161922607136</v>
      </c>
    </row>
    <row r="14" spans="5:9">
      <c r="E14">
        <f t="shared" si="0"/>
        <v>10</v>
      </c>
      <c r="F14">
        <f>MAX(0,F13-$B$5*F13*G13/$B$3)</f>
        <v>926.307862297597</v>
      </c>
      <c r="G14">
        <f>MAX(0,G13+$B$5*F13*G13/$B$3-$B$6*G13-$B$7*G13)</f>
        <v>50.5594082341115</v>
      </c>
      <c r="H14">
        <f t="shared" si="1"/>
        <v>17.7944072833007</v>
      </c>
      <c r="I14">
        <f t="shared" si="2"/>
        <v>5.3383221849902</v>
      </c>
    </row>
    <row r="15" spans="5:9">
      <c r="E15">
        <f t="shared" si="0"/>
        <v>11</v>
      </c>
      <c r="F15">
        <f>MAX(0,F14-$B$5*F14*G14/$B$3)</f>
        <v>907.574431353449</v>
      </c>
      <c r="G15">
        <f>MAX(0,G14+$B$5*F14*G14/$B$3-$B$6*G14-$B$7*G14)</f>
        <v>62.7201161078255</v>
      </c>
      <c r="H15">
        <f t="shared" si="1"/>
        <v>22.8503481067118</v>
      </c>
      <c r="I15">
        <f t="shared" si="2"/>
        <v>6.85510443201354</v>
      </c>
    </row>
    <row r="16" spans="5:9">
      <c r="E16">
        <f t="shared" si="0"/>
        <v>12</v>
      </c>
      <c r="F16">
        <f>MAX(0,F15-$B$5*F15*G15/$B$3)</f>
        <v>884.805161869056</v>
      </c>
      <c r="G16">
        <f>MAX(0,G15+$B$5*F15*G15/$B$3-$B$6*G15-$B$7*G15)</f>
        <v>77.335770498201</v>
      </c>
      <c r="H16">
        <f t="shared" si="1"/>
        <v>29.1223597174944</v>
      </c>
      <c r="I16">
        <f t="shared" si="2"/>
        <v>8.73670791524831</v>
      </c>
    </row>
    <row r="17" spans="5:9">
      <c r="E17">
        <f t="shared" si="0"/>
        <v>13</v>
      </c>
      <c r="F17">
        <f>MAX(0,F16-$B$5*F16*G16/$B$3)</f>
        <v>857.434326295484</v>
      </c>
      <c r="G17">
        <f>MAX(0,G16+$B$5*F16*G16/$B$3-$B$6*G16-$B$7*G16)</f>
        <v>94.6529559070065</v>
      </c>
      <c r="H17">
        <f t="shared" si="1"/>
        <v>36.8559367673145</v>
      </c>
      <c r="I17">
        <f t="shared" si="2"/>
        <v>11.0567810301943</v>
      </c>
    </row>
    <row r="18" spans="5:9">
      <c r="E18">
        <f t="shared" si="0"/>
        <v>14</v>
      </c>
      <c r="F18">
        <f>MAX(0,F17-$B$5*F17*G17/$B$3)</f>
        <v>824.970848903484</v>
      </c>
      <c r="G18">
        <f>MAX(0,G17+$B$5*F17*G17/$B$3-$B$6*G17-$B$7*G17)</f>
        <v>114.811549031096</v>
      </c>
      <c r="H18">
        <f t="shared" si="1"/>
        <v>46.3212323580151</v>
      </c>
      <c r="I18">
        <f t="shared" si="2"/>
        <v>13.8963697074045</v>
      </c>
    </row>
    <row r="19" spans="5:9">
      <c r="E19">
        <f t="shared" si="0"/>
        <v>15</v>
      </c>
      <c r="F19">
        <f>MAX(0,F18-$B$5*F18*G18/$B$3)</f>
        <v>787.084376476241</v>
      </c>
      <c r="G19">
        <f>MAX(0,G18+$B$5*F18*G18/$B$3-$B$6*G18-$B$7*G18)</f>
        <v>137.772520084296</v>
      </c>
      <c r="H19">
        <f t="shared" si="1"/>
        <v>57.8023872611247</v>
      </c>
      <c r="I19">
        <f t="shared" si="2"/>
        <v>17.3407161783374</v>
      </c>
    </row>
    <row r="20" spans="5:9">
      <c r="E20">
        <f t="shared" si="0"/>
        <v>16</v>
      </c>
      <c r="F20">
        <f>MAX(0,F19-$B$5*F19*G19/$B$3)</f>
        <v>743.708937249798</v>
      </c>
      <c r="G20">
        <f>MAX(0,G19+$B$5*F19*G19/$B$3-$B$6*G19-$B$7*G19)</f>
        <v>163.237531699781</v>
      </c>
      <c r="H20">
        <f t="shared" si="1"/>
        <v>71.5796392695543</v>
      </c>
      <c r="I20">
        <f t="shared" si="2"/>
        <v>21.4738917808663</v>
      </c>
    </row>
    <row r="21" spans="5:9">
      <c r="E21">
        <f t="shared" si="0"/>
        <v>17</v>
      </c>
      <c r="F21">
        <f>MAX(0,F20-$B$5*F20*G20/$B$3)</f>
        <v>695.148452761908</v>
      </c>
      <c r="G21">
        <f>MAX(0,G20+$B$5*F20*G20/$B$3-$B$6*G20-$B$7*G20)</f>
        <v>190.577137066699</v>
      </c>
      <c r="H21">
        <f t="shared" si="1"/>
        <v>87.9033924395324</v>
      </c>
      <c r="I21">
        <f t="shared" si="2"/>
        <v>26.3710177318597</v>
      </c>
    </row>
    <row r="22" spans="5:9">
      <c r="E22">
        <f t="shared" si="0"/>
        <v>18</v>
      </c>
      <c r="F22">
        <f>MAX(0,F21-$B$5*F21*G21/$B$3)</f>
        <v>642.156691976424</v>
      </c>
      <c r="G22">
        <f>MAX(0,G21+$B$5*F21*G21/$B$3-$B$6*G21-$B$7*G21)</f>
        <v>218.793870033512</v>
      </c>
      <c r="H22">
        <f t="shared" si="1"/>
        <v>106.961106146202</v>
      </c>
      <c r="I22">
        <f t="shared" si="2"/>
        <v>32.0883318438607</v>
      </c>
    </row>
    <row r="23" spans="5:9">
      <c r="E23">
        <f t="shared" si="0"/>
        <v>19</v>
      </c>
      <c r="F23">
        <f>MAX(0,F22-$B$5*F22*G22/$B$3)</f>
        <v>585.956712854248</v>
      </c>
      <c r="G23">
        <f>MAX(0,G22+$B$5*F22*G22/$B$3-$B$6*G22-$B$7*G22)</f>
        <v>246.550646051332</v>
      </c>
      <c r="H23">
        <f t="shared" si="1"/>
        <v>128.840493149554</v>
      </c>
      <c r="I23">
        <f t="shared" si="2"/>
        <v>38.6521479448661</v>
      </c>
    </row>
    <row r="24" spans="5:9">
      <c r="E24">
        <f t="shared" si="0"/>
        <v>20</v>
      </c>
      <c r="F24">
        <f>MAX(0,F23-$B$5*F23*G23/$B$3)</f>
        <v>528.169510409316</v>
      </c>
      <c r="G24">
        <f>MAX(0,G23+$B$5*F23*G23/$B$3-$B$6*G23-$B$7*G23)</f>
        <v>272.28626450959</v>
      </c>
      <c r="H24">
        <f t="shared" si="1"/>
        <v>153.495557754687</v>
      </c>
      <c r="I24">
        <f t="shared" si="2"/>
        <v>46.048667326406</v>
      </c>
    </row>
    <row r="25" spans="5:9">
      <c r="E25">
        <f t="shared" si="0"/>
        <v>21</v>
      </c>
      <c r="F25">
        <f>MAX(0,F24-$B$5*F24*G24/$B$3)</f>
        <v>470.644189202431</v>
      </c>
      <c r="G25">
        <f>MAX(0,G24+$B$5*F24*G24/$B$3-$B$6*G24-$B$7*G24)</f>
        <v>294.414371330229</v>
      </c>
      <c r="H25">
        <f t="shared" si="1"/>
        <v>180.724184205646</v>
      </c>
      <c r="I25">
        <f t="shared" si="2"/>
        <v>54.2172552616938</v>
      </c>
    </row>
    <row r="26" spans="5:9">
      <c r="E26">
        <f t="shared" si="0"/>
        <v>22</v>
      </c>
      <c r="F26">
        <f>MAX(0,F25-$B$5*F25*G25/$B$3)</f>
        <v>415.218423968728</v>
      </c>
      <c r="G26">
        <f>MAX(0,G25+$B$5*F25*G25/$B$3-$B$6*G25-$B$7*G25)</f>
        <v>311.566268291002</v>
      </c>
      <c r="H26">
        <f t="shared" si="1"/>
        <v>210.165621338669</v>
      </c>
      <c r="I26">
        <f t="shared" si="2"/>
        <v>63.0496864016006</v>
      </c>
    </row>
    <row r="27" spans="5:9">
      <c r="E27">
        <f t="shared" si="0"/>
        <v>23</v>
      </c>
      <c r="F27">
        <f>MAX(0,F26-$B$5*F26*G26/$B$3)</f>
        <v>363.471202016085</v>
      </c>
      <c r="G27">
        <f>MAX(0,G26+$B$5*F26*G26/$B$3-$B$6*G26-$B$7*G26)</f>
        <v>322.809875365815</v>
      </c>
      <c r="H27">
        <f t="shared" si="1"/>
        <v>241.322248167769</v>
      </c>
      <c r="I27">
        <f t="shared" si="2"/>
        <v>72.3966744503307</v>
      </c>
    </row>
    <row r="28" spans="5:9">
      <c r="E28">
        <f t="shared" si="0"/>
        <v>24</v>
      </c>
      <c r="F28">
        <f>MAX(0,F27-$B$5*F27*G27/$B$3)</f>
        <v>316.538364647334</v>
      </c>
      <c r="G28">
        <f>MAX(0,G27+$B$5*F27*G27/$B$3-$B$6*G27-$B$7*G27)</f>
        <v>327.777428937009</v>
      </c>
      <c r="H28">
        <f t="shared" si="1"/>
        <v>273.60323570435</v>
      </c>
      <c r="I28">
        <f t="shared" si="2"/>
        <v>82.0809707113051</v>
      </c>
    </row>
    <row r="29" spans="5:9">
      <c r="E29">
        <f t="shared" si="0"/>
        <v>25</v>
      </c>
      <c r="F29">
        <f>MAX(0,F28-$B$5*F28*G28/$B$3)</f>
        <v>275.036712117723</v>
      </c>
      <c r="G29">
        <f>MAX(0,G28+$B$5*F28*G28/$B$3-$B$6*G28-$B$7*G28)</f>
        <v>326.66801570481</v>
      </c>
      <c r="H29">
        <f t="shared" si="1"/>
        <v>306.380978598051</v>
      </c>
      <c r="I29">
        <f t="shared" si="2"/>
        <v>91.9142935794154</v>
      </c>
    </row>
    <row r="30" spans="5:9">
      <c r="E30">
        <f t="shared" si="0"/>
        <v>26</v>
      </c>
      <c r="F30">
        <f>MAX(0,F29-$B$5*F29*G29/$B$3)</f>
        <v>239.098433320334</v>
      </c>
      <c r="G30">
        <f>MAX(0,G29+$B$5*F29*G29/$B$3-$B$6*G29-$B$7*G29)</f>
        <v>320.139452460573</v>
      </c>
      <c r="H30">
        <f t="shared" si="1"/>
        <v>339.047780168532</v>
      </c>
      <c r="I30">
        <f t="shared" si="2"/>
        <v>101.71433405056</v>
      </c>
    </row>
    <row r="31" spans="5:9">
      <c r="E31">
        <f t="shared" si="0"/>
        <v>27</v>
      </c>
      <c r="F31">
        <f>MAX(0,F30-$B$5*F30*G30/$B$3)</f>
        <v>208.480496709393</v>
      </c>
      <c r="G31">
        <f>MAX(0,G30+$B$5*F30*G30/$B$3-$B$6*G30-$B$7*G30)</f>
        <v>309.13926025164</v>
      </c>
      <c r="H31">
        <f t="shared" si="1"/>
        <v>371.06172541459</v>
      </c>
      <c r="I31">
        <f t="shared" si="2"/>
        <v>111.318517624377</v>
      </c>
    </row>
    <row r="32" spans="5:9">
      <c r="E32">
        <f t="shared" si="0"/>
        <v>28</v>
      </c>
      <c r="F32">
        <f>MAX(0,F31-$B$5*F31*G31/$B$3)</f>
        <v>182.700694097539</v>
      </c>
      <c r="G32">
        <f>MAX(0,G31+$B$5*F31*G31/$B$3-$B$6*G31-$B$7*G31)</f>
        <v>294.730959030781</v>
      </c>
      <c r="H32">
        <f t="shared" si="1"/>
        <v>401.975651439754</v>
      </c>
      <c r="I32">
        <f t="shared" si="2"/>
        <v>120.592695431926</v>
      </c>
    </row>
    <row r="33" spans="5:9">
      <c r="E33">
        <f t="shared" si="0"/>
        <v>29</v>
      </c>
      <c r="F33">
        <f>MAX(0,F32-$B$5*F32*G32/$B$3)</f>
        <v>161.161673782756</v>
      </c>
      <c r="G33">
        <f>MAX(0,G32+$B$5*F32*G32/$B$3-$B$6*G32-$B$7*G32)</f>
        <v>277.954954671562</v>
      </c>
      <c r="H33">
        <f t="shared" si="1"/>
        <v>431.448747342832</v>
      </c>
      <c r="I33">
        <f t="shared" si="2"/>
        <v>129.43462420285</v>
      </c>
    </row>
    <row r="34" spans="5:9">
      <c r="E34">
        <f t="shared" si="0"/>
        <v>30</v>
      </c>
      <c r="F34">
        <f>MAX(0,F33-$B$5*F33*G33/$B$3)</f>
        <v>143.243399490324</v>
      </c>
      <c r="G34">
        <f>MAX(0,G33+$B$5*F33*G33/$B$3-$B$6*G33-$B$7*G33)</f>
        <v>259.739084856691</v>
      </c>
      <c r="H34">
        <f t="shared" si="1"/>
        <v>459.244242809988</v>
      </c>
      <c r="I34">
        <f t="shared" si="2"/>
        <v>137.773272842996</v>
      </c>
    </row>
    <row r="35" spans="5:9">
      <c r="E35">
        <f t="shared" si="0"/>
        <v>31</v>
      </c>
      <c r="F35">
        <f>MAX(0,F34-$B$5*F34*G34/$B$3)</f>
        <v>128.361035692173</v>
      </c>
      <c r="G35">
        <f>MAX(0,G34+$B$5*F34*G34/$B$3-$B$6*G34-$B$7*G34)</f>
        <v>240.855367623472</v>
      </c>
      <c r="H35">
        <f t="shared" si="1"/>
        <v>485.218151295657</v>
      </c>
      <c r="I35">
        <f t="shared" si="2"/>
        <v>145.565445388697</v>
      </c>
    </row>
    <row r="36" spans="5:9">
      <c r="E36">
        <f t="shared" si="0"/>
        <v>32</v>
      </c>
      <c r="F36">
        <f>MAX(0,F35-$B$5*F35*G35/$B$3)</f>
        <v>115.994457916106</v>
      </c>
      <c r="G36">
        <f>MAX(0,G35+$B$5*F35*G35/$B$3-$B$6*G35-$B$7*G35)</f>
        <v>221.910747608488</v>
      </c>
      <c r="H36">
        <f t="shared" si="1"/>
        <v>509.303688058004</v>
      </c>
      <c r="I36">
        <f t="shared" si="2"/>
        <v>152.791106417401</v>
      </c>
    </row>
    <row r="37" spans="5:9">
      <c r="E37">
        <f t="shared" si="0"/>
        <v>33</v>
      </c>
      <c r="F37">
        <f>MAX(0,F36-$B$5*F36*G36/$B$3)</f>
        <v>105.698291166264</v>
      </c>
      <c r="G37">
        <f>MAX(0,G36+$B$5*F36*G36/$B$3-$B$6*G36-$B$7*G36)</f>
        <v>203.358517169226</v>
      </c>
      <c r="H37">
        <f t="shared" si="1"/>
        <v>531.494762818853</v>
      </c>
      <c r="I37">
        <f t="shared" si="2"/>
        <v>159.448428845656</v>
      </c>
    </row>
    <row r="38" spans="5:9">
      <c r="E38">
        <f t="shared" si="0"/>
        <v>34</v>
      </c>
      <c r="F38">
        <f>MAX(0,F37-$B$5*F37*G37/$B$3)</f>
        <v>97.1004320627071</v>
      </c>
      <c r="G38">
        <f>MAX(0,G37+$B$5*F37*G37/$B$3-$B$6*G37-$B$7*G37)</f>
        <v>185.519769040784</v>
      </c>
      <c r="H38">
        <f t="shared" si="1"/>
        <v>551.830614535776</v>
      </c>
      <c r="I38">
        <f t="shared" si="2"/>
        <v>165.549184360733</v>
      </c>
    </row>
    <row r="39" spans="5:9">
      <c r="E39">
        <f t="shared" si="0"/>
        <v>35</v>
      </c>
      <c r="F39">
        <f>MAX(0,F38-$B$5*F38*G38/$B$3)</f>
        <v>89.8948121706936</v>
      </c>
      <c r="G39">
        <f>MAX(0,G38+$B$5*F38*G38/$B$3-$B$6*G38-$B$7*G38)</f>
        <v>168.607818957496</v>
      </c>
      <c r="H39">
        <f t="shared" si="1"/>
        <v>570.382591439854</v>
      </c>
      <c r="I39">
        <f t="shared" si="2"/>
        <v>171.114777431956</v>
      </c>
    </row>
    <row r="40" spans="5:9">
      <c r="E40">
        <f t="shared" si="0"/>
        <v>36</v>
      </c>
      <c r="F40">
        <f>MAX(0,F39-$B$5*F39*G39/$B$3)</f>
        <v>83.8320248844158</v>
      </c>
      <c r="G40">
        <f>MAX(0,G39+$B$5*F39*G39/$B$3-$B$6*G39-$B$7*G39)</f>
        <v>152.751589779299</v>
      </c>
      <c r="H40">
        <f t="shared" si="1"/>
        <v>587.243373335604</v>
      </c>
      <c r="I40">
        <f t="shared" si="2"/>
        <v>176.173012000681</v>
      </c>
    </row>
    <row r="41" spans="5:9">
      <c r="E41">
        <f t="shared" si="0"/>
        <v>37</v>
      </c>
      <c r="F41">
        <f>MAX(0,F40-$B$5*F40*G40/$B$3)</f>
        <v>78.7098348542109</v>
      </c>
      <c r="G41">
        <f>MAX(0,G40+$B$5*F40*G40/$B$3-$B$6*G40-$B$7*G40)</f>
        <v>138.016073138195</v>
      </c>
      <c r="H41">
        <f t="shared" si="1"/>
        <v>602.518532313534</v>
      </c>
      <c r="I41">
        <f t="shared" si="2"/>
        <v>180.75555969406</v>
      </c>
    </row>
    <row r="42" spans="5:9">
      <c r="E42">
        <f t="shared" si="0"/>
        <v>38</v>
      </c>
      <c r="F42">
        <f>MAX(0,F41-$B$5*F41*G41/$B$3)</f>
        <v>74.3645459246373</v>
      </c>
      <c r="G42">
        <f>MAX(0,G41+$B$5*F41*G41/$B$3-$B$6*G41-$B$7*G41)</f>
        <v>124.419272559803</v>
      </c>
      <c r="H42">
        <f t="shared" si="1"/>
        <v>616.320139627353</v>
      </c>
      <c r="I42">
        <f t="shared" si="2"/>
        <v>184.896041888206</v>
      </c>
    </row>
    <row r="43" spans="5:9">
      <c r="E43">
        <f t="shared" si="0"/>
        <v>39</v>
      </c>
      <c r="F43">
        <f>MAX(0,F42-$B$5*F42*G42/$B$3)</f>
        <v>70.6635928413639</v>
      </c>
      <c r="G43">
        <f>MAX(0,G42+$B$5*F42*G42/$B$3-$B$6*G42-$B$7*G42)</f>
        <v>111.945720210302</v>
      </c>
      <c r="H43">
        <f t="shared" si="1"/>
        <v>628.762066883333</v>
      </c>
      <c r="I43">
        <f t="shared" si="2"/>
        <v>188.628620065</v>
      </c>
    </row>
    <row r="44" spans="5:9">
      <c r="E44">
        <f t="shared" si="0"/>
        <v>40</v>
      </c>
      <c r="F44">
        <f>MAX(0,F43-$B$5*F43*G43/$B$3)</f>
        <v>67.4993981240543</v>
      </c>
      <c r="G44">
        <f>MAX(0,G43+$B$5*F43*G43/$B$3-$B$6*G43-$B$7*G43)</f>
        <v>100.556971300273</v>
      </c>
      <c r="H44">
        <f t="shared" si="1"/>
        <v>639.956638904364</v>
      </c>
      <c r="I44">
        <f t="shared" si="2"/>
        <v>191.986991671309</v>
      </c>
    </row>
    <row r="45" spans="5:9">
      <c r="E45">
        <f t="shared" si="0"/>
        <v>41</v>
      </c>
      <c r="F45">
        <f>MAX(0,F44-$B$5*F44*G44/$B$3)</f>
        <v>64.7843841080758</v>
      </c>
      <c r="G45">
        <f>MAX(0,G44+$B$5*F44*G44/$B$3-$B$6*G44-$B$7*G44)</f>
        <v>90.1995790472156</v>
      </c>
      <c r="H45">
        <f t="shared" si="1"/>
        <v>650.012336034391</v>
      </c>
      <c r="I45">
        <f t="shared" si="2"/>
        <v>195.003700810317</v>
      </c>
    </row>
    <row r="46" spans="5:9">
      <c r="E46">
        <f t="shared" si="0"/>
        <v>42</v>
      </c>
      <c r="F46">
        <f>MAX(0,F45-$B$5*F45*G45/$B$3)</f>
        <v>62.4469744379232</v>
      </c>
      <c r="G46">
        <f>MAX(0,G45+$B$5*F45*G45/$B$3-$B$6*G45-$B$7*G45)</f>
        <v>80.8110434412302</v>
      </c>
      <c r="H46">
        <f t="shared" si="1"/>
        <v>659.032293939112</v>
      </c>
      <c r="I46">
        <f t="shared" si="2"/>
        <v>197.709688181734</v>
      </c>
    </row>
    <row r="47" spans="5:9">
      <c r="E47">
        <f t="shared" si="0"/>
        <v>43</v>
      </c>
      <c r="F47">
        <f>MAX(0,F46-$B$5*F46*G46/$B$3)</f>
        <v>60.4284123722926</v>
      </c>
      <c r="G47">
        <f>MAX(0,G46+$B$5*F46*G46/$B$3-$B$6*G46-$B$7*G46)</f>
        <v>72.3241698595008</v>
      </c>
      <c r="H47">
        <f t="shared" si="1"/>
        <v>667.113398283235</v>
      </c>
      <c r="I47">
        <f t="shared" si="2"/>
        <v>200.134019484971</v>
      </c>
    </row>
    <row r="48" spans="5:9">
      <c r="E48">
        <f t="shared" si="0"/>
        <v>44</v>
      </c>
      <c r="F48">
        <f>MAX(0,F47-$B$5*F47*G47/$B$3)</f>
        <v>58.6802384679912</v>
      </c>
      <c r="G48">
        <f>MAX(0,G47+$B$5*F47*G47/$B$3-$B$6*G47-$B$7*G47)</f>
        <v>64.6702016820672</v>
      </c>
      <c r="H48">
        <f t="shared" si="1"/>
        <v>674.345815269186</v>
      </c>
      <c r="I48">
        <f t="shared" si="2"/>
        <v>202.303744580756</v>
      </c>
    </row>
    <row r="49" spans="5:9">
      <c r="E49">
        <f t="shared" si="0"/>
        <v>45</v>
      </c>
      <c r="F49">
        <f>MAX(0,F48-$B$5*F48*G48/$B$3)</f>
        <v>57.1622933254005</v>
      </c>
      <c r="G49">
        <f>MAX(0,G48+$B$5*F48*G48/$B$3-$B$6*G48-$B$7*G48)</f>
        <v>57.7810206059892</v>
      </c>
      <c r="H49">
        <f t="shared" si="1"/>
        <v>680.812835437392</v>
      </c>
      <c r="I49">
        <f t="shared" si="2"/>
        <v>204.243850631218</v>
      </c>
    </row>
    <row r="50" spans="5:9">
      <c r="E50">
        <f t="shared" si="0"/>
        <v>46</v>
      </c>
      <c r="F50">
        <f>MAX(0,F49-$B$5*F49*G49/$B$3)</f>
        <v>55.8411350659922</v>
      </c>
      <c r="G50">
        <f>MAX(0,G49+$B$5*F49*G49/$B$3-$B$6*G49-$B$7*G49)</f>
        <v>51.5906461866188</v>
      </c>
      <c r="H50">
        <f t="shared" si="1"/>
        <v>686.590937497991</v>
      </c>
      <c r="I50">
        <f t="shared" si="2"/>
        <v>205.977281249397</v>
      </c>
    </row>
    <row r="51" spans="5:9">
      <c r="E51">
        <f t="shared" si="0"/>
        <v>47</v>
      </c>
      <c r="F51">
        <f>MAX(0,F50-$B$5*F50*G50/$B$3)</f>
        <v>54.6887829692527</v>
      </c>
      <c r="G51">
        <f>MAX(0,G50+$B$5*F50*G50/$B$3-$B$6*G50-$B$7*G50)</f>
        <v>46.0362142790979</v>
      </c>
      <c r="H51">
        <f t="shared" si="1"/>
        <v>691.750002116653</v>
      </c>
      <c r="I51">
        <f t="shared" si="2"/>
        <v>207.525000634996</v>
      </c>
    </row>
    <row r="52" spans="5:9">
      <c r="E52">
        <f t="shared" si="0"/>
        <v>48</v>
      </c>
      <c r="F52">
        <f>MAX(0,F51-$B$5*F51*G51/$B$3)</f>
        <v>53.6817171566785</v>
      </c>
      <c r="G52">
        <f>MAX(0,G51+$B$5*F51*G51/$B$3-$B$6*G51-$B$7*G51)</f>
        <v>41.0585722353894</v>
      </c>
      <c r="H52">
        <f t="shared" si="1"/>
        <v>696.353623544563</v>
      </c>
      <c r="I52">
        <f t="shared" si="2"/>
        <v>208.906087063369</v>
      </c>
    </row>
    <row r="53" spans="5:9">
      <c r="E53">
        <f t="shared" si="0"/>
        <v>49</v>
      </c>
      <c r="F53">
        <f>MAX(0,F52-$B$5*F52*G52/$B$3)</f>
        <v>52.8000792920396</v>
      </c>
      <c r="G53">
        <f>MAX(0,G52+$B$5*F52*G52/$B$3-$B$6*G52-$B$7*G52)</f>
        <v>36.6025957094277</v>
      </c>
      <c r="H53">
        <f t="shared" si="1"/>
        <v>700.459480768102</v>
      </c>
      <c r="I53">
        <f t="shared" si="2"/>
        <v>210.137844230431</v>
      </c>
    </row>
    <row r="54" spans="5:9">
      <c r="E54">
        <f t="shared" si="0"/>
        <v>50</v>
      </c>
      <c r="F54">
        <f>MAX(0,F53-$B$5*F53*G53/$B$3)</f>
        <v>52.0270313097387</v>
      </c>
      <c r="G54">
        <f>MAX(0,G53+$B$5*F53*G53/$B$3-$B$6*G53-$B$7*G53)</f>
        <v>32.617306249503</v>
      </c>
      <c r="H54">
        <f t="shared" si="1"/>
        <v>704.119740339045</v>
      </c>
      <c r="I54">
        <f t="shared" si="2"/>
        <v>211.235922101713</v>
      </c>
    </row>
    <row r="55" spans="5:9">
      <c r="E55">
        <f t="shared" si="0"/>
        <v>51</v>
      </c>
      <c r="F55">
        <f>MAX(0,F54-$B$5*F54*G54/$B$3)</f>
        <v>51.3482386643458</v>
      </c>
      <c r="G55">
        <f>MAX(0,G54+$B$5*F54*G54/$B$3-$B$6*G54-$B$7*G54)</f>
        <v>29.0558490824605</v>
      </c>
      <c r="H55">
        <f t="shared" si="1"/>
        <v>707.381470963995</v>
      </c>
      <c r="I55">
        <f t="shared" si="2"/>
        <v>212.214441289198</v>
      </c>
    </row>
    <row r="56" spans="5:9">
      <c r="E56">
        <f t="shared" si="0"/>
        <v>52</v>
      </c>
      <c r="F56">
        <f>MAX(0,F55-$B$5*F55*G55/$B$3)</f>
        <v>50.7514519950332</v>
      </c>
      <c r="G56">
        <f>MAX(0,G55+$B$5*F55*G55/$B$3-$B$6*G55-$B$7*G55)</f>
        <v>25.8753753710532</v>
      </c>
      <c r="H56">
        <f t="shared" si="1"/>
        <v>710.287055872241</v>
      </c>
      <c r="I56">
        <f t="shared" si="2"/>
        <v>213.086116761672</v>
      </c>
    </row>
    <row r="57" spans="5:9">
      <c r="E57">
        <f t="shared" si="0"/>
        <v>53</v>
      </c>
      <c r="F57">
        <f>MAX(0,F56-$B$5*F56*G56/$B$3)</f>
        <v>50.2261668466343</v>
      </c>
      <c r="G57">
        <f>MAX(0,G56+$B$5*F56*G56/$B$3-$B$6*G56-$B$7*G56)</f>
        <v>23.0368617212152</v>
      </c>
      <c r="H57">
        <f t="shared" si="1"/>
        <v>712.874593409346</v>
      </c>
      <c r="I57">
        <f t="shared" si="2"/>
        <v>213.862378022804</v>
      </c>
    </row>
    <row r="58" spans="5:9">
      <c r="E58">
        <f t="shared" si="0"/>
        <v>54</v>
      </c>
      <c r="F58">
        <f>MAX(0,F57-$B$5*F57*G57/$B$3)</f>
        <v>49.7633455424612</v>
      </c>
      <c r="G58">
        <f>MAX(0,G57+$B$5*F57*G57/$B$3-$B$6*G57-$B$7*G57)</f>
        <v>20.5048910016303</v>
      </c>
      <c r="H58">
        <f t="shared" si="1"/>
        <v>715.178279581468</v>
      </c>
      <c r="I58">
        <f t="shared" si="2"/>
        <v>214.55348387444</v>
      </c>
    </row>
    <row r="59" spans="5:9">
      <c r="E59">
        <f t="shared" si="0"/>
        <v>55</v>
      </c>
      <c r="F59">
        <f>MAX(0,F58-$B$5*F58*G58/$B$3)</f>
        <v>49.3551887519714</v>
      </c>
      <c r="G59">
        <f>MAX(0,G58+$B$5*F58*G58/$B$3-$B$6*G58-$B$7*G58)</f>
        <v>18.2474119619082</v>
      </c>
      <c r="H59">
        <f t="shared" si="1"/>
        <v>717.228768681631</v>
      </c>
      <c r="I59">
        <f t="shared" si="2"/>
        <v>215.168630604489</v>
      </c>
    </row>
    <row r="60" spans="5:9">
      <c r="E60">
        <f t="shared" si="0"/>
        <v>56</v>
      </c>
      <c r="F60">
        <f>MAX(0,F59-$B$5*F59*G59/$B$3)</f>
        <v>48.9949469673254</v>
      </c>
      <c r="G60">
        <f>MAX(0,G59+$B$5*F59*G59/$B$3-$B$6*G59-$B$7*G59)</f>
        <v>16.2354901915061</v>
      </c>
      <c r="H60">
        <f t="shared" si="1"/>
        <v>719.053509877822</v>
      </c>
      <c r="I60">
        <f t="shared" si="2"/>
        <v>215.716052963346</v>
      </c>
    </row>
    <row r="61" spans="5:9">
      <c r="E61">
        <f t="shared" si="0"/>
        <v>57</v>
      </c>
      <c r="F61">
        <f>MAX(0,F60-$B$5*F60*G60/$B$3)</f>
        <v>48.6767641749568</v>
      </c>
      <c r="G61">
        <f>MAX(0,G60+$B$5*F60*G60/$B$3-$B$6*G60-$B$7*G60)</f>
        <v>14.4430592589789</v>
      </c>
      <c r="H61">
        <f t="shared" si="1"/>
        <v>720.677058896972</v>
      </c>
      <c r="I61">
        <f t="shared" si="2"/>
        <v>216.203117669092</v>
      </c>
    </row>
    <row r="62" spans="5:9">
      <c r="E62">
        <f t="shared" si="0"/>
        <v>58</v>
      </c>
      <c r="F62">
        <f>MAX(0,F61-$B$5*F61*G61/$B$3)</f>
        <v>48.3955476191511</v>
      </c>
      <c r="G62">
        <f>MAX(0,G61+$B$5*F61*G61/$B$3-$B$6*G61-$B$7*G61)</f>
        <v>12.8466781111173</v>
      </c>
      <c r="H62">
        <f t="shared" si="1"/>
        <v>722.12136482287</v>
      </c>
      <c r="I62">
        <f t="shared" si="2"/>
        <v>216.636409446861</v>
      </c>
    </row>
    <row r="63" spans="5:9">
      <c r="E63">
        <f t="shared" si="0"/>
        <v>59</v>
      </c>
      <c r="F63">
        <f>MAX(0,F62-$B$5*F62*G62/$B$3)</f>
        <v>48.1468588102413</v>
      </c>
      <c r="G63">
        <f>MAX(0,G62+$B$5*F62*G62/$B$3-$B$6*G62-$B$7*G62)</f>
        <v>11.4252987655819</v>
      </c>
      <c r="H63">
        <f t="shared" si="1"/>
        <v>723.406032633982</v>
      </c>
      <c r="I63">
        <f t="shared" si="2"/>
        <v>217.021809790195</v>
      </c>
    </row>
    <row r="64" spans="5:9">
      <c r="E64">
        <f t="shared" si="0"/>
        <v>60</v>
      </c>
      <c r="F64">
        <f>MAX(0,F63-$B$5*F63*G63/$B$3)</f>
        <v>47.9268219116288</v>
      </c>
      <c r="G64">
        <f>MAX(0,G63+$B$5*F63*G63/$B$3-$B$6*G63-$B$7*G63)</f>
        <v>10.1600468246687</v>
      </c>
      <c r="H64">
        <f t="shared" si="1"/>
        <v>724.54856251054</v>
      </c>
      <c r="I64">
        <f t="shared" si="2"/>
        <v>217.364568753162</v>
      </c>
    </row>
    <row r="65" spans="5:9">
      <c r="E65">
        <f t="shared" si="0"/>
        <v>61</v>
      </c>
      <c r="F65">
        <f>MAX(0,F64-$B$5*F64*G64/$B$3)</f>
        <v>47.7320464097169</v>
      </c>
      <c r="G65">
        <f>MAX(0,G64+$B$5*F64*G64/$B$3-$B$6*G64-$B$7*G64)</f>
        <v>9.03401623937369</v>
      </c>
      <c r="H65">
        <f t="shared" si="1"/>
        <v>725.564567193007</v>
      </c>
      <c r="I65">
        <f t="shared" si="2"/>
        <v>217.669370157902</v>
      </c>
    </row>
    <row r="66" spans="5:9">
      <c r="E66">
        <f t="shared" si="0"/>
        <v>62</v>
      </c>
      <c r="F66">
        <f>MAX(0,F65-$B$5*F65*G65/$B$3)</f>
        <v>47.5595615767554</v>
      </c>
      <c r="G66">
        <f>MAX(0,G65+$B$5*F65*G65/$B$3-$B$6*G65-$B$7*G65)</f>
        <v>8.03207896121668</v>
      </c>
      <c r="H66">
        <f t="shared" si="1"/>
        <v>726.467968816944</v>
      </c>
      <c r="I66">
        <f t="shared" si="2"/>
        <v>217.940390645083</v>
      </c>
    </row>
    <row r="67" spans="5:9">
      <c r="E67">
        <f t="shared" si="0"/>
        <v>63</v>
      </c>
      <c r="F67">
        <f>MAX(0,F66-$B$5*F66*G66/$B$3)</f>
        <v>47.4067607151772</v>
      </c>
      <c r="G67">
        <f>MAX(0,G66+$B$5*F66*G66/$B$3-$B$6*G66-$B$7*G66)</f>
        <v>7.14070955783665</v>
      </c>
      <c r="H67">
        <f t="shared" si="1"/>
        <v>727.271176713066</v>
      </c>
      <c r="I67">
        <f t="shared" si="2"/>
        <v>218.18135301392</v>
      </c>
    </row>
    <row r="68" spans="5:9">
      <c r="E68">
        <f t="shared" si="0"/>
        <v>64</v>
      </c>
      <c r="F68">
        <f>MAX(0,F67-$B$5*F67*G67/$B$3)</f>
        <v>47.2713535514393</v>
      </c>
      <c r="G68">
        <f>MAX(0,G67+$B$5*F67*G67/$B$3-$B$6*G67-$B$7*G67)</f>
        <v>6.34782447905586</v>
      </c>
      <c r="H68">
        <f t="shared" si="1"/>
        <v>727.98524766885</v>
      </c>
      <c r="I68">
        <f t="shared" si="2"/>
        <v>218.395574300655</v>
      </c>
    </row>
    <row r="69" spans="5:9">
      <c r="E69">
        <f t="shared" ref="E69:E132" si="3">E68+1</f>
        <v>65</v>
      </c>
      <c r="F69">
        <f>MAX(0,F68-$B$5*F68*G68/$B$3)</f>
        <v>47.1513254493465</v>
      </c>
      <c r="G69">
        <f>MAX(0,G68+$B$5*F68*G68/$B$3-$B$6*G68-$B$7*G68)</f>
        <v>5.64263539887137</v>
      </c>
      <c r="H69">
        <f t="shared" ref="H69:H132" si="4">H68+$B$6*G68</f>
        <v>728.620030116755</v>
      </c>
      <c r="I69">
        <f t="shared" ref="I69:I132" si="5">I68+$B$7*G68</f>
        <v>218.586009035027</v>
      </c>
    </row>
    <row r="70" spans="5:9">
      <c r="E70">
        <f t="shared" si="3"/>
        <v>66</v>
      </c>
      <c r="F70">
        <f>MAX(0,F69-$B$5*F69*G69/$B$3)</f>
        <v>47.0449023541128</v>
      </c>
      <c r="G70">
        <f>MAX(0,G69+$B$5*F69*G69/$B$3-$B$6*G69-$B$7*G69)</f>
        <v>5.01551589225177</v>
      </c>
      <c r="H70">
        <f t="shared" si="4"/>
        <v>729.184293656642</v>
      </c>
      <c r="I70">
        <f t="shared" si="5"/>
        <v>218.755288096993</v>
      </c>
    </row>
    <row r="71" spans="5:9">
      <c r="E71">
        <f t="shared" si="3"/>
        <v>67</v>
      </c>
      <c r="F71">
        <f>MAX(0,F70-$B$5*F70*G70/$B$3)</f>
        <v>46.9505205719502</v>
      </c>
      <c r="G71">
        <f>MAX(0,G70+$B$5*F70*G70/$B$3-$B$6*G70-$B$7*G70)</f>
        <v>4.45788060842163</v>
      </c>
      <c r="H71">
        <f t="shared" si="4"/>
        <v>729.685845245868</v>
      </c>
      <c r="I71">
        <f t="shared" si="5"/>
        <v>218.90575357376</v>
      </c>
    </row>
    <row r="72" spans="5:9">
      <c r="E72">
        <f t="shared" si="3"/>
        <v>68</v>
      </c>
      <c r="F72">
        <f>MAX(0,F71-$B$5*F71*G71/$B$3)</f>
        <v>46.866800645865</v>
      </c>
      <c r="G72">
        <f>MAX(0,G71+$B$5*F71*G71/$B$3-$B$6*G71-$B$7*G71)</f>
        <v>3.96207605541202</v>
      </c>
      <c r="H72">
        <f t="shared" si="4"/>
        <v>730.13163330671</v>
      </c>
      <c r="I72">
        <f t="shared" si="5"/>
        <v>219.039489992013</v>
      </c>
    </row>
    <row r="73" spans="5:9">
      <c r="E73">
        <f t="shared" si="3"/>
        <v>69</v>
      </c>
      <c r="F73">
        <f>MAX(0,F72-$B$5*F72*G72/$B$3)</f>
        <v>46.7925247144119</v>
      </c>
      <c r="G73">
        <f>MAX(0,G72+$B$5*F72*G72/$B$3-$B$6*G72-$B$7*G72)</f>
        <v>3.52128209966156</v>
      </c>
      <c r="H73">
        <f t="shared" si="4"/>
        <v>730.527840912251</v>
      </c>
      <c r="I73">
        <f t="shared" si="5"/>
        <v>219.158352273675</v>
      </c>
    </row>
    <row r="74" spans="5:9">
      <c r="E74">
        <f t="shared" si="3"/>
        <v>70</v>
      </c>
      <c r="F74">
        <f>MAX(0,F73-$B$5*F73*G73/$B$3)</f>
        <v>46.726616842542</v>
      </c>
      <c r="G74">
        <f>MAX(0,G73+$B$5*F73*G73/$B$3-$B$6*G73-$B$7*G73)</f>
        <v>3.12942329857549</v>
      </c>
      <c r="H74">
        <f t="shared" si="4"/>
        <v>730.879969122217</v>
      </c>
      <c r="I74">
        <f t="shared" si="5"/>
        <v>219.263990736665</v>
      </c>
    </row>
    <row r="75" spans="5:9">
      <c r="E75">
        <f t="shared" si="3"/>
        <v>71</v>
      </c>
      <c r="F75">
        <f>MAX(0,F74-$B$5*F74*G74/$B$3)</f>
        <v>46.6681258971777</v>
      </c>
      <c r="G75">
        <f>MAX(0,G74+$B$5*F74*G74/$B$3-$B$6*G74-$B$7*G74)</f>
        <v>2.78108921512494</v>
      </c>
      <c r="H75">
        <f t="shared" si="4"/>
        <v>731.192911452075</v>
      </c>
      <c r="I75">
        <f t="shared" si="5"/>
        <v>219.357873435622</v>
      </c>
    </row>
    <row r="76" spans="5:9">
      <c r="E76">
        <f t="shared" si="3"/>
        <v>72</v>
      </c>
      <c r="F76">
        <f>MAX(0,F75-$B$5*F75*G75/$B$3)</f>
        <v>46.6162106085286</v>
      </c>
      <c r="G76">
        <f>MAX(0,G75+$B$5*F75*G75/$B$3-$B$6*G75-$B$7*G75)</f>
        <v>2.47146290580779</v>
      </c>
      <c r="H76">
        <f t="shared" si="4"/>
        <v>731.471020373587</v>
      </c>
      <c r="I76">
        <f t="shared" si="5"/>
        <v>219.441306112076</v>
      </c>
    </row>
    <row r="77" spans="5:9">
      <c r="E77">
        <f t="shared" si="3"/>
        <v>73</v>
      </c>
      <c r="F77">
        <f>MAX(0,F76-$B$5*F76*G76/$B$3)</f>
        <v>46.5701265143973</v>
      </c>
      <c r="G77">
        <f>MAX(0,G76+$B$5*F76*G76/$B$3-$B$6*G76-$B$7*G76)</f>
        <v>2.1962568221841</v>
      </c>
      <c r="H77">
        <f t="shared" si="4"/>
        <v>731.718166664168</v>
      </c>
      <c r="I77">
        <f t="shared" si="5"/>
        <v>219.51544999925</v>
      </c>
    </row>
    <row r="78" spans="5:9">
      <c r="E78">
        <f t="shared" si="3"/>
        <v>74</v>
      </c>
      <c r="F78">
        <f>MAX(0,F77-$B$5*F77*G77/$B$3)</f>
        <v>46.5292145311704</v>
      </c>
      <c r="G78">
        <f>MAX(0,G77+$B$5*F77*G77/$B$3-$B$6*G77-$B$7*G77)</f>
        <v>1.95165541852705</v>
      </c>
      <c r="H78">
        <f t="shared" si="4"/>
        <v>731.937792346386</v>
      </c>
      <c r="I78">
        <f t="shared" si="5"/>
        <v>219.581337703916</v>
      </c>
    </row>
    <row r="79" spans="5:9">
      <c r="E79">
        <f t="shared" si="3"/>
        <v>75</v>
      </c>
      <c r="F79">
        <f>MAX(0,F78-$B$5*F78*G78/$B$3)</f>
        <v>46.4928909337066</v>
      </c>
      <c r="G79">
        <f>MAX(0,G78+$B$5*F78*G78/$B$3-$B$6*G78-$B$7*G78)</f>
        <v>1.73426381158236</v>
      </c>
      <c r="H79">
        <f t="shared" si="4"/>
        <v>732.132957888239</v>
      </c>
      <c r="I79">
        <f t="shared" si="5"/>
        <v>219.639887366472</v>
      </c>
    </row>
    <row r="80" spans="5:9">
      <c r="E80">
        <f t="shared" si="3"/>
        <v>76</v>
      </c>
      <c r="F80">
        <f>MAX(0,F79-$B$5*F79*G79/$B$3)</f>
        <v>46.4606385584097</v>
      </c>
      <c r="G80">
        <f>MAX(0,G79+$B$5*F79*G79/$B$3-$B$6*G79-$B$7*G79)</f>
        <v>1.54106189137352</v>
      </c>
      <c r="H80">
        <f t="shared" si="4"/>
        <v>732.306384269397</v>
      </c>
      <c r="I80">
        <f t="shared" si="5"/>
        <v>219.691915280819</v>
      </c>
    </row>
    <row r="81" spans="5:9">
      <c r="E81">
        <f t="shared" si="3"/>
        <v>77</v>
      </c>
      <c r="F81">
        <f>MAX(0,F80-$B$5*F80*G80/$B$3)</f>
        <v>46.4319990705972</v>
      </c>
      <c r="G81">
        <f>MAX(0,G80+$B$5*F80*G80/$B$3-$B$6*G80-$B$7*G80)</f>
        <v>1.36936333330746</v>
      </c>
      <c r="H81">
        <f t="shared" si="4"/>
        <v>732.460490458535</v>
      </c>
      <c r="I81">
        <f t="shared" si="5"/>
        <v>219.73814713756</v>
      </c>
    </row>
    <row r="82" spans="5:9">
      <c r="E82">
        <f t="shared" si="3"/>
        <v>78</v>
      </c>
      <c r="F82">
        <f>MAX(0,F81-$B$5*F81*G81/$B$3)</f>
        <v>46.4065661597894</v>
      </c>
      <c r="G82">
        <f>MAX(0,G81+$B$5*F81*G81/$B$3-$B$6*G81-$B$7*G81)</f>
        <v>1.21677901078527</v>
      </c>
      <c r="H82">
        <f t="shared" si="4"/>
        <v>732.597426791865</v>
      </c>
      <c r="I82">
        <f t="shared" si="5"/>
        <v>219.77922803756</v>
      </c>
    </row>
    <row r="83" spans="5:9">
      <c r="E83">
        <f t="shared" si="3"/>
        <v>79</v>
      </c>
      <c r="F83">
        <f>MAX(0,F82-$B$5*F82*G82/$B$3)</f>
        <v>46.3839795455231</v>
      </c>
      <c r="G83">
        <f>MAX(0,G82+$B$5*F82*G82/$B$3-$B$6*G82-$B$7*G82)</f>
        <v>1.08118435364953</v>
      </c>
      <c r="H83">
        <f t="shared" si="4"/>
        <v>732.719104692944</v>
      </c>
      <c r="I83">
        <f t="shared" si="5"/>
        <v>219.815731407883</v>
      </c>
    </row>
    <row r="84" spans="5:9">
      <c r="E84">
        <f t="shared" si="3"/>
        <v>80</v>
      </c>
      <c r="F84">
        <f>MAX(0,F83-$B$5*F83*G83/$B$3)</f>
        <v>46.3639196923452</v>
      </c>
      <c r="G84">
        <f>MAX(0,G83+$B$5*F83*G83/$B$3-$B$6*G83-$B$7*G83)</f>
        <v>0.960690240852935</v>
      </c>
      <c r="H84">
        <f t="shared" si="4"/>
        <v>732.827223128309</v>
      </c>
      <c r="I84">
        <f t="shared" si="5"/>
        <v>219.848166938493</v>
      </c>
    </row>
    <row r="85" spans="5:9">
      <c r="E85">
        <f t="shared" si="3"/>
        <v>81</v>
      </c>
      <c r="F85">
        <f>MAX(0,F84-$B$5*F84*G84/$B$3)</f>
        <v>46.3461031462748</v>
      </c>
      <c r="G85">
        <f>MAX(0,G84+$B$5*F84*G84/$B$3-$B$6*G84-$B$7*G84)</f>
        <v>0.853617055612503</v>
      </c>
      <c r="H85">
        <f t="shared" si="4"/>
        <v>732.923292152394</v>
      </c>
      <c r="I85">
        <f t="shared" si="5"/>
        <v>219.876987645718</v>
      </c>
    </row>
    <row r="86" spans="5:9">
      <c r="E86">
        <f t="shared" si="3"/>
        <v>82</v>
      </c>
      <c r="F86">
        <f>MAX(0,F85-$B$5*F85*G85/$B$3)</f>
        <v>46.3302784166321</v>
      </c>
      <c r="G86">
        <f>MAX(0,G85+$B$5*F85*G85/$B$3-$B$6*G85-$B$7*G85)</f>
        <v>0.758471568025613</v>
      </c>
      <c r="H86">
        <f t="shared" si="4"/>
        <v>733.008653857955</v>
      </c>
      <c r="I86">
        <f t="shared" si="5"/>
        <v>219.902596157387</v>
      </c>
    </row>
    <row r="87" spans="5:9">
      <c r="E87">
        <f t="shared" si="3"/>
        <v>83</v>
      </c>
      <c r="F87">
        <f>MAX(0,F86-$B$5*F86*G86/$B$3)</f>
        <v>46.316222337065</v>
      </c>
      <c r="G87">
        <f>MAX(0,G86+$B$5*F86*G86/$B$3-$B$6*G86-$B$7*G86)</f>
        <v>0.673926343749373</v>
      </c>
      <c r="H87">
        <f t="shared" si="4"/>
        <v>733.084501014758</v>
      </c>
      <c r="I87">
        <f t="shared" si="5"/>
        <v>219.925350304427</v>
      </c>
    </row>
    <row r="88" spans="5:9">
      <c r="E88">
        <f t="shared" si="3"/>
        <v>84</v>
      </c>
      <c r="F88">
        <f>MAX(0,F87-$B$5*F87*G87/$B$3)</f>
        <v>46.3037368481146</v>
      </c>
      <c r="G88">
        <f>MAX(0,G87+$B$5*F87*G87/$B$3-$B$6*G87-$B$7*G87)</f>
        <v>0.598801408012315</v>
      </c>
      <c r="H88">
        <f t="shared" si="4"/>
        <v>733.151893649133</v>
      </c>
      <c r="I88">
        <f t="shared" si="5"/>
        <v>219.94556809474</v>
      </c>
    </row>
    <row r="89" spans="5:9">
      <c r="E89">
        <f t="shared" si="3"/>
        <v>85</v>
      </c>
      <c r="F89">
        <f>MAX(0,F88-$B$5*F88*G88/$B$3)</f>
        <v>46.2926461509863</v>
      </c>
      <c r="G89">
        <f>MAX(0,G88+$B$5*F88*G88/$B$3-$B$6*G88-$B$7*G88)</f>
        <v>0.532047922099067</v>
      </c>
      <c r="H89">
        <f t="shared" si="4"/>
        <v>733.211773789934</v>
      </c>
      <c r="I89">
        <f t="shared" si="5"/>
        <v>219.96353213698</v>
      </c>
    </row>
    <row r="90" spans="5:9">
      <c r="E90">
        <f t="shared" si="3"/>
        <v>86</v>
      </c>
      <c r="F90">
        <f>MAX(0,F89-$B$5*F89*G89/$B$3)</f>
        <v>46.282794188509</v>
      </c>
      <c r="G90">
        <f>MAX(0,G89+$B$5*F89*G89/$B$3-$B$6*G89-$B$7*G89)</f>
        <v>0.472733654703429</v>
      </c>
      <c r="H90">
        <f t="shared" si="4"/>
        <v>733.264978582144</v>
      </c>
      <c r="I90">
        <f t="shared" si="5"/>
        <v>219.979493574643</v>
      </c>
    </row>
    <row r="91" spans="5:9">
      <c r="E91">
        <f t="shared" si="3"/>
        <v>87</v>
      </c>
      <c r="F91">
        <f>MAX(0,F90-$B$5*F90*G90/$B$3)</f>
        <v>46.2740424147304</v>
      </c>
      <c r="G91">
        <f>MAX(0,G90+$B$5*F90*G90/$B$3-$B$6*G90-$B$7*G90)</f>
        <v>0.420030053370631</v>
      </c>
      <c r="H91">
        <f t="shared" si="4"/>
        <v>733.312251947615</v>
      </c>
      <c r="I91">
        <f t="shared" si="5"/>
        <v>219.993675584284</v>
      </c>
    </row>
    <row r="92" spans="5:9">
      <c r="E92">
        <f t="shared" si="3"/>
        <v>88</v>
      </c>
      <c r="F92">
        <f>MAX(0,F91-$B$5*F91*G91/$B$3)</f>
        <v>46.2662678193283</v>
      </c>
      <c r="G92">
        <f>MAX(0,G91+$B$5*F91*G91/$B$3-$B$6*G91-$B$7*G91)</f>
        <v>0.373200741834503</v>
      </c>
      <c r="H92">
        <f t="shared" si="4"/>
        <v>733.354254952952</v>
      </c>
      <c r="I92">
        <f t="shared" si="5"/>
        <v>220.006276485885</v>
      </c>
    </row>
    <row r="93" spans="5:9">
      <c r="E93">
        <f t="shared" si="3"/>
        <v>89</v>
      </c>
      <c r="F93">
        <f>MAX(0,F92-$B$5*F92*G92/$B$3)</f>
        <v>46.2593611771395</v>
      </c>
      <c r="G93">
        <f>MAX(0,G92+$B$5*F92*G92/$B$3-$B$6*G92-$B$7*G92)</f>
        <v>0.331591287584852</v>
      </c>
      <c r="H93">
        <f t="shared" si="4"/>
        <v>733.391575027135</v>
      </c>
      <c r="I93">
        <f t="shared" si="5"/>
        <v>220.01747250814</v>
      </c>
    </row>
    <row r="94" spans="5:9">
      <c r="E94">
        <f t="shared" si="3"/>
        <v>90</v>
      </c>
      <c r="F94">
        <f>MAX(0,F93-$B$5*F93*G93/$B$3)</f>
        <v>46.2532254966852</v>
      </c>
      <c r="G94">
        <f>MAX(0,G93+$B$5*F93*G93/$B$3-$B$6*G93-$B$7*G93)</f>
        <v>0.294620100653054</v>
      </c>
      <c r="H94">
        <f t="shared" si="4"/>
        <v>733.424734155893</v>
      </c>
      <c r="I94">
        <f t="shared" si="5"/>
        <v>220.027420246768</v>
      </c>
    </row>
    <row r="95" spans="5:9">
      <c r="E95">
        <f t="shared" si="3"/>
        <v>91</v>
      </c>
      <c r="F95">
        <f>MAX(0,F94-$B$5*F94*G94/$B$3)</f>
        <v>46.2477746447047</v>
      </c>
      <c r="G95">
        <f>MAX(0,G94+$B$5*F94*G94/$B$3-$B$6*G94-$B$7*G94)</f>
        <v>0.261770339548701</v>
      </c>
      <c r="H95">
        <f t="shared" si="4"/>
        <v>733.454196165959</v>
      </c>
      <c r="I95">
        <f t="shared" si="5"/>
        <v>220.036258849788</v>
      </c>
    </row>
    <row r="96" spans="5:9">
      <c r="E96">
        <f t="shared" si="3"/>
        <v>92</v>
      </c>
      <c r="F96">
        <f>MAX(0,F95-$B$5*F95*G95/$B$3)</f>
        <v>46.2429321264358</v>
      </c>
      <c r="G96">
        <f>MAX(0,G95+$B$5*F95*G95/$B$3-$B$6*G95-$B$7*G95)</f>
        <v>0.232582713676217</v>
      </c>
      <c r="H96">
        <f t="shared" si="4"/>
        <v>733.480373199914</v>
      </c>
      <c r="I96">
        <f t="shared" si="5"/>
        <v>220.044111959974</v>
      </c>
    </row>
    <row r="97" spans="5:9">
      <c r="E97">
        <f t="shared" si="3"/>
        <v>93</v>
      </c>
      <c r="F97">
        <f>MAX(0,F96-$B$5*F96*G96/$B$3)</f>
        <v>46.2386300037789</v>
      </c>
      <c r="G97">
        <f>MAX(0,G96+$B$5*F96*G96/$B$3-$B$6*G96-$B$7*G96)</f>
        <v>0.206649083555233</v>
      </c>
      <c r="H97">
        <f t="shared" si="4"/>
        <v>733.503631471281</v>
      </c>
      <c r="I97">
        <f t="shared" si="5"/>
        <v>220.051089441384</v>
      </c>
    </row>
    <row r="98" spans="5:9">
      <c r="E98">
        <f t="shared" si="3"/>
        <v>94</v>
      </c>
      <c r="F98">
        <f>MAX(0,F97-$B$5*F97*G97/$B$3)</f>
        <v>46.2348079355729</v>
      </c>
      <c r="G98">
        <f>MAX(0,G97+$B$5*F97*G97/$B$3-$B$6*G97-$B$7*G97)</f>
        <v>0.183606770899105</v>
      </c>
      <c r="H98">
        <f t="shared" si="4"/>
        <v>733.524296379637</v>
      </c>
      <c r="I98">
        <f t="shared" si="5"/>
        <v>220.057288913891</v>
      </c>
    </row>
    <row r="99" spans="5:9">
      <c r="E99">
        <f t="shared" si="3"/>
        <v>95</v>
      </c>
      <c r="F99">
        <f>MAX(0,F98-$B$5*F98*G98/$B$3)</f>
        <v>46.2314123260576</v>
      </c>
      <c r="G99">
        <f>MAX(0,G98+$B$5*F98*G98/$B$3-$B$6*G98-$B$7*G98)</f>
        <v>0.163133500197498</v>
      </c>
      <c r="H99">
        <f t="shared" si="4"/>
        <v>733.542657056727</v>
      </c>
      <c r="I99">
        <f t="shared" si="5"/>
        <v>220.062797117018</v>
      </c>
    </row>
    <row r="100" spans="5:9">
      <c r="E100">
        <f t="shared" si="3"/>
        <v>96</v>
      </c>
      <c r="F100">
        <f>MAX(0,F99-$B$5*F99*G99/$B$3)</f>
        <v>46.2283955692129</v>
      </c>
      <c r="G100">
        <f>MAX(0,G99+$B$5*F99*G99/$B$3-$B$6*G99-$B$7*G99)</f>
        <v>0.144942902016552</v>
      </c>
      <c r="H100">
        <f t="shared" si="4"/>
        <v>733.558970406747</v>
      </c>
      <c r="I100">
        <f t="shared" si="5"/>
        <v>220.067691122024</v>
      </c>
    </row>
    <row r="101" spans="5:9">
      <c r="E101">
        <f t="shared" si="3"/>
        <v>97</v>
      </c>
      <c r="F101">
        <f>MAX(0,F100-$B$5*F100*G100/$B$3)</f>
        <v>46.2257153780891</v>
      </c>
      <c r="G101">
        <f>MAX(0,G100+$B$5*F100*G100/$B$3-$B$6*G100-$B$7*G100)</f>
        <v>0.128780515878149</v>
      </c>
      <c r="H101">
        <f t="shared" si="4"/>
        <v>733.573464696948</v>
      </c>
      <c r="I101">
        <f t="shared" si="5"/>
        <v>220.072039409084</v>
      </c>
    </row>
    <row r="102" spans="5:9">
      <c r="E102">
        <f t="shared" si="3"/>
        <v>98</v>
      </c>
      <c r="F102">
        <f>MAX(0,F101-$B$5*F101*G101/$B$3)</f>
        <v>46.2233341894998</v>
      </c>
      <c r="G102">
        <f>MAX(0,G101+$B$5*F101*G101/$B$3-$B$6*G101-$B$7*G101)</f>
        <v>0.11442023740328</v>
      </c>
      <c r="H102">
        <f t="shared" si="4"/>
        <v>733.586342748536</v>
      </c>
      <c r="I102">
        <f t="shared" si="5"/>
        <v>220.075902824561</v>
      </c>
    </row>
    <row r="103" spans="5:9">
      <c r="E103">
        <f t="shared" si="3"/>
        <v>99</v>
      </c>
      <c r="F103">
        <f>MAX(0,F102-$B$5*F102*G102/$B$3)</f>
        <v>46.2212186355512</v>
      </c>
      <c r="G103">
        <f>MAX(0,G102+$B$5*F102*G102/$B$3-$B$6*G102-$B$7*G102)</f>
        <v>0.101661160489467</v>
      </c>
      <c r="H103">
        <f t="shared" si="4"/>
        <v>733.597784772276</v>
      </c>
      <c r="I103">
        <f t="shared" si="5"/>
        <v>220.079335431683</v>
      </c>
    </row>
    <row r="104" spans="5:9">
      <c r="E104">
        <f t="shared" si="3"/>
        <v>100</v>
      </c>
      <c r="F104">
        <f>MAX(0,F103-$B$5*F103*G103/$B$3)</f>
        <v>46.2193390744609</v>
      </c>
      <c r="G104">
        <f>MAX(0,G103+$B$5*F103*G103/$B$3-$B$6*G103-$B$7*G103)</f>
        <v>0.0903247707161276</v>
      </c>
      <c r="H104">
        <f t="shared" si="4"/>
        <v>733.607950888325</v>
      </c>
      <c r="I104">
        <f t="shared" si="5"/>
        <v>220.082385266497</v>
      </c>
    </row>
    <row r="105" spans="5:9">
      <c r="E105">
        <f t="shared" si="3"/>
        <v>101</v>
      </c>
      <c r="F105">
        <f>MAX(0,F104-$B$5*F104*G104/$B$3)</f>
        <v>46.2176691739791</v>
      </c>
      <c r="G105">
        <f>MAX(0,G104+$B$5*F104*G104/$B$3-$B$6*G104-$B$7*G104)</f>
        <v>0.0802524510048516</v>
      </c>
      <c r="H105">
        <f t="shared" si="4"/>
        <v>733.616983365397</v>
      </c>
      <c r="I105">
        <f t="shared" si="5"/>
        <v>220.085095009619</v>
      </c>
    </row>
    <row r="106" spans="5:9">
      <c r="E106">
        <f t="shared" si="3"/>
        <v>102</v>
      </c>
      <c r="F106">
        <f>MAX(0,F105-$B$5*F105*G105/$B$3)</f>
        <v>46.2161855414867</v>
      </c>
      <c r="G106">
        <f>MAX(0,G105+$B$5*F105*G105/$B$3-$B$6*G105-$B$7*G105)</f>
        <v>0.0713032648665982</v>
      </c>
      <c r="H106">
        <f t="shared" si="4"/>
        <v>733.625008610498</v>
      </c>
      <c r="I106">
        <f t="shared" si="5"/>
        <v>220.087502583149</v>
      </c>
    </row>
    <row r="107" spans="5:9">
      <c r="E107">
        <f t="shared" si="3"/>
        <v>103</v>
      </c>
      <c r="F107">
        <f>MAX(0,F106-$B$5*F106*G106/$B$3)</f>
        <v>46.2148673955192</v>
      </c>
      <c r="G107">
        <f>MAX(0,G106+$B$5*F106*G106/$B$3-$B$6*G106-$B$7*G106)</f>
        <v>0.0633519864014558</v>
      </c>
      <c r="H107">
        <f t="shared" si="4"/>
        <v>733.632138936984</v>
      </c>
      <c r="I107">
        <f t="shared" si="5"/>
        <v>220.089641681095</v>
      </c>
    </row>
    <row r="108" spans="5:9">
      <c r="E108">
        <f t="shared" si="3"/>
        <v>104</v>
      </c>
      <c r="F108">
        <f>MAX(0,F107-$B$5*F107*G107/$B$3)</f>
        <v>46.2136962740589</v>
      </c>
      <c r="G108">
        <f>MAX(0,G107+$B$5*F107*G107/$B$3-$B$6*G107-$B$7*G107)</f>
        <v>0.056287349629581</v>
      </c>
      <c r="H108">
        <f t="shared" si="4"/>
        <v>733.638474135624</v>
      </c>
      <c r="I108">
        <f t="shared" si="5"/>
        <v>220.091542240687</v>
      </c>
    </row>
    <row r="109" spans="5:9">
      <c r="E109">
        <f t="shared" si="3"/>
        <v>105</v>
      </c>
      <c r="F109">
        <f>MAX(0,F108-$B$5*F108*G108/$B$3)</f>
        <v>46.2126557754669</v>
      </c>
      <c r="G109">
        <f>MAX(0,G108+$B$5*F108*G108/$B$3-$B$6*G108-$B$7*G108)</f>
        <v>0.0500104927696767</v>
      </c>
      <c r="H109">
        <f t="shared" si="4"/>
        <v>733.644102870587</v>
      </c>
      <c r="I109">
        <f t="shared" si="5"/>
        <v>220.093230861176</v>
      </c>
    </row>
    <row r="110" spans="5:9">
      <c r="E110">
        <f t="shared" si="3"/>
        <v>106</v>
      </c>
      <c r="F110">
        <f>MAX(0,F109-$B$5*F109*G109/$B$3)</f>
        <v>46.2117313283919</v>
      </c>
      <c r="G110">
        <f>MAX(0,G109+$B$5*F109*G109/$B$3-$B$6*G109-$B$7*G109)</f>
        <v>0.0444335757846294</v>
      </c>
      <c r="H110">
        <f t="shared" si="4"/>
        <v>733.649103919864</v>
      </c>
      <c r="I110">
        <f t="shared" si="5"/>
        <v>220.094731175959</v>
      </c>
    </row>
    <row r="111" spans="5:9">
      <c r="E111">
        <f t="shared" si="3"/>
        <v>107</v>
      </c>
      <c r="F111">
        <f>MAX(0,F110-$B$5*F110*G110/$B$3)</f>
        <v>46.2109099874055</v>
      </c>
      <c r="G111">
        <f>MAX(0,G110+$B$5*F110*G110/$B$3-$B$6*G110-$B$7*G110)</f>
        <v>0.0394785519190752</v>
      </c>
      <c r="H111">
        <f t="shared" si="4"/>
        <v>733.653547277443</v>
      </c>
      <c r="I111">
        <f t="shared" si="5"/>
        <v>220.096064183233</v>
      </c>
    </row>
    <row r="112" spans="5:9">
      <c r="E112">
        <f t="shared" si="3"/>
        <v>108</v>
      </c>
      <c r="F112">
        <f>MAX(0,F111-$B$5*F111*G111/$B$3)</f>
        <v>46.2101802514818</v>
      </c>
      <c r="G112">
        <f>MAX(0,G111+$B$5*F111*G111/$B$3-$B$6*G111-$B$7*G111)</f>
        <v>0.0350760760932616</v>
      </c>
      <c r="H112">
        <f t="shared" si="4"/>
        <v>733.657495132635</v>
      </c>
      <c r="I112">
        <f t="shared" si="5"/>
        <v>220.09724853979</v>
      </c>
    </row>
    <row r="113" spans="5:9">
      <c r="E113">
        <f t="shared" si="3"/>
        <v>109</v>
      </c>
      <c r="F113">
        <f>MAX(0,F112-$B$5*F112*G112/$B$3)</f>
        <v>46.2095319027623</v>
      </c>
      <c r="G113">
        <f>MAX(0,G112+$B$5*F112*G112/$B$3-$B$6*G112-$B$7*G112)</f>
        <v>0.0311645349206513</v>
      </c>
      <c r="H113">
        <f t="shared" si="4"/>
        <v>733.661002740244</v>
      </c>
      <c r="I113">
        <f t="shared" si="5"/>
        <v>220.098300822073</v>
      </c>
    </row>
    <row r="114" spans="5:9">
      <c r="E114">
        <f t="shared" si="3"/>
        <v>110</v>
      </c>
      <c r="F114">
        <f>MAX(0,F113-$B$5*F113*G113/$B$3)</f>
        <v>46.208955863334</v>
      </c>
      <c r="G114">
        <f>MAX(0,G113+$B$5*F113*G113/$B$3-$B$6*G113-$B$7*G113)</f>
        <v>0.0276891848092269</v>
      </c>
      <c r="H114">
        <f t="shared" si="4"/>
        <v>733.664119193736</v>
      </c>
      <c r="I114">
        <f t="shared" si="5"/>
        <v>220.099235758121</v>
      </c>
    </row>
    <row r="115" spans="5:9">
      <c r="E115">
        <f t="shared" si="3"/>
        <v>111</v>
      </c>
      <c r="F115">
        <f>MAX(0,F114-$B$5*F114*G114/$B$3)</f>
        <v>46.2084440680065</v>
      </c>
      <c r="G115">
        <f>MAX(0,G114+$B$5*F114*G114/$B$3-$B$6*G114-$B$7*G114)</f>
        <v>0.0246013861115239</v>
      </c>
      <c r="H115">
        <f t="shared" si="4"/>
        <v>733.666888112217</v>
      </c>
      <c r="I115">
        <f t="shared" si="5"/>
        <v>220.100066433665</v>
      </c>
    </row>
    <row r="116" spans="5:9">
      <c r="E116">
        <f t="shared" si="3"/>
        <v>112</v>
      </c>
      <c r="F116">
        <f>MAX(0,F115-$B$5*F115*G115/$B$3)</f>
        <v>46.2079893512969</v>
      </c>
      <c r="G116">
        <f>MAX(0,G115+$B$5*F115*G115/$B$3-$B$6*G115-$B$7*G115)</f>
        <v>0.0218579226266777</v>
      </c>
      <c r="H116">
        <f t="shared" si="4"/>
        <v>733.669348250828</v>
      </c>
      <c r="I116">
        <f t="shared" si="5"/>
        <v>220.100804475248</v>
      </c>
    </row>
    <row r="117" spans="5:9">
      <c r="E117">
        <f t="shared" si="3"/>
        <v>113</v>
      </c>
      <c r="F117">
        <f>MAX(0,F116-$B$5*F116*G116/$B$3)</f>
        <v>46.2075853470345</v>
      </c>
      <c r="G117">
        <f>MAX(0,G116+$B$5*F116*G116/$B$3-$B$6*G116-$B$7*G116)</f>
        <v>0.0194203969475996</v>
      </c>
      <c r="H117">
        <f t="shared" si="4"/>
        <v>733.671534043091</v>
      </c>
      <c r="I117">
        <f t="shared" si="5"/>
        <v>220.101460212927</v>
      </c>
    </row>
    <row r="118" spans="5:9">
      <c r="E118">
        <f t="shared" si="3"/>
        <v>114</v>
      </c>
      <c r="F118">
        <f>MAX(0,F117-$B$5*F117*G117/$B$3)</f>
        <v>46.2072263991747</v>
      </c>
      <c r="G118">
        <f>MAX(0,G117+$B$5*F117*G117/$B$3-$B$6*G117-$B$7*G117)</f>
        <v>0.0172546932041834</v>
      </c>
      <c r="H118">
        <f t="shared" si="4"/>
        <v>733.673476082786</v>
      </c>
      <c r="I118">
        <f t="shared" si="5"/>
        <v>220.102042824835</v>
      </c>
    </row>
    <row r="119" spans="5:9">
      <c r="E119">
        <f t="shared" si="3"/>
        <v>115</v>
      </c>
      <c r="F119">
        <f>MAX(0,F118-$B$5*F118*G118/$B$3)</f>
        <v>46.2069074825686</v>
      </c>
      <c r="G119">
        <f>MAX(0,G118+$B$5*F118*G118/$B$3-$B$6*G118-$B$7*G118)</f>
        <v>0.0153304996937732</v>
      </c>
      <c r="H119">
        <f t="shared" si="4"/>
        <v>733.675201552106</v>
      </c>
      <c r="I119">
        <f t="shared" si="5"/>
        <v>220.102560465632</v>
      </c>
    </row>
    <row r="120" spans="5:9">
      <c r="E120">
        <f t="shared" si="3"/>
        <v>116</v>
      </c>
      <c r="F120">
        <f>MAX(0,F119-$B$5*F119*G119/$B$3)</f>
        <v>46.2066241325762</v>
      </c>
      <c r="G120">
        <f>MAX(0,G119+$B$5*F119*G119/$B$3-$B$6*G119-$B$7*G119)</f>
        <v>0.0136208847259874</v>
      </c>
      <c r="H120">
        <f t="shared" si="4"/>
        <v>733.676734602075</v>
      </c>
      <c r="I120">
        <f t="shared" si="5"/>
        <v>220.103020380622</v>
      </c>
    </row>
    <row r="121" spans="5:9">
      <c r="E121">
        <f t="shared" si="3"/>
        <v>117</v>
      </c>
      <c r="F121">
        <f>MAX(0,F120-$B$5*F120*G120/$B$3)</f>
        <v>46.2063723825358</v>
      </c>
      <c r="G121">
        <f>MAX(0,G120+$B$5*F120*G120/$B$3-$B$6*G120-$B$7*G120)</f>
        <v>0.0121019197519638</v>
      </c>
      <c r="H121">
        <f t="shared" si="4"/>
        <v>733.678096690548</v>
      </c>
      <c r="I121">
        <f t="shared" si="5"/>
        <v>220.103429007164</v>
      </c>
    </row>
    <row r="122" spans="5:9">
      <c r="E122">
        <f t="shared" si="3"/>
        <v>118</v>
      </c>
      <c r="F122">
        <f>MAX(0,F121-$B$5*F121*G121/$B$3)</f>
        <v>46.2061487082116</v>
      </c>
      <c r="G122">
        <f>MAX(0,G121+$B$5*F121*G121/$B$3-$B$6*G121-$B$7*G121)</f>
        <v>0.0107523445084496</v>
      </c>
      <c r="H122">
        <f t="shared" si="4"/>
        <v>733.679306882523</v>
      </c>
      <c r="I122">
        <f t="shared" si="5"/>
        <v>220.103792064757</v>
      </c>
    </row>
    <row r="123" spans="5:9">
      <c r="E123">
        <f t="shared" si="3"/>
        <v>119</v>
      </c>
      <c r="F123">
        <f>MAX(0,F122-$B$5*F122*G122/$B$3)</f>
        <v>46.2059499784399</v>
      </c>
      <c r="G123">
        <f>MAX(0,G122+$B$5*F122*G122/$B$3-$B$6*G122-$B$7*G122)</f>
        <v>0.00955326949407888</v>
      </c>
      <c r="H123">
        <f t="shared" si="4"/>
        <v>733.680382116974</v>
      </c>
      <c r="I123">
        <f t="shared" si="5"/>
        <v>220.104114635092</v>
      </c>
    </row>
    <row r="124" spans="5:9">
      <c r="E124">
        <f t="shared" si="3"/>
        <v>120</v>
      </c>
      <c r="F124">
        <f>MAX(0,F123-$B$5*F123*G123/$B$3)</f>
        <v>46.2057734112829</v>
      </c>
      <c r="G124">
        <f>MAX(0,G123+$B$5*F123*G123/$B$3-$B$6*G123-$B$7*G123)</f>
        <v>0.00848791161679821</v>
      </c>
      <c r="H124">
        <f t="shared" si="4"/>
        <v>733.681337443923</v>
      </c>
      <c r="I124">
        <f t="shared" si="5"/>
        <v>220.104401233177</v>
      </c>
    </row>
    <row r="125" spans="5:9">
      <c r="E125">
        <f t="shared" si="3"/>
        <v>121</v>
      </c>
      <c r="F125">
        <f>MAX(0,F124-$B$5*F124*G124/$B$3)</f>
        <v>46.2056165350746</v>
      </c>
      <c r="G125">
        <f>MAX(0,G124+$B$5*F124*G124/$B$3-$B$6*G124-$B$7*G124)</f>
        <v>0.00754135931497475</v>
      </c>
      <c r="H125">
        <f t="shared" si="4"/>
        <v>733.682186235085</v>
      </c>
      <c r="I125">
        <f t="shared" si="5"/>
        <v>220.104655870525</v>
      </c>
    </row>
    <row r="126" spans="5:9">
      <c r="E126">
        <f t="shared" si="3"/>
        <v>122</v>
      </c>
      <c r="F126">
        <f>MAX(0,F125-$B$5*F125*G125/$B$3)</f>
        <v>46.2054771538119</v>
      </c>
      <c r="G126">
        <f>MAX(0,G125+$B$5*F125*G125/$B$3-$B$6*G125-$B$7*G125)</f>
        <v>0.00670036386669241</v>
      </c>
      <c r="H126">
        <f t="shared" si="4"/>
        <v>733.682940371017</v>
      </c>
      <c r="I126">
        <f t="shared" si="5"/>
        <v>220.104882111305</v>
      </c>
    </row>
    <row r="127" spans="5:9">
      <c r="E127">
        <f t="shared" si="3"/>
        <v>123</v>
      </c>
      <c r="F127">
        <f>MAX(0,F126-$B$5*F126*G126/$B$3)</f>
        <v>46.2053533164081</v>
      </c>
      <c r="G127">
        <f>MAX(0,G126+$B$5*F126*G126/$B$3-$B$6*G126-$B$7*G126)</f>
        <v>0.00595315396784827</v>
      </c>
      <c r="H127">
        <f t="shared" si="4"/>
        <v>733.683610407403</v>
      </c>
      <c r="I127">
        <f t="shared" si="5"/>
        <v>220.105083122221</v>
      </c>
    </row>
    <row r="128" spans="5:9">
      <c r="E128">
        <f t="shared" si="3"/>
        <v>124</v>
      </c>
      <c r="F128">
        <f>MAX(0,F127-$B$5*F127*G127/$B$3)</f>
        <v>46.2052432893751</v>
      </c>
      <c r="G128">
        <f>MAX(0,G127+$B$5*F127*G127/$B$3-$B$6*G127-$B$7*G127)</f>
        <v>0.00528927098500056</v>
      </c>
      <c r="H128">
        <f t="shared" si="4"/>
        <v>733.6842057228</v>
      </c>
      <c r="I128">
        <f t="shared" si="5"/>
        <v>220.10526171684</v>
      </c>
    </row>
    <row r="129" spans="5:9">
      <c r="E129">
        <f t="shared" si="3"/>
        <v>125</v>
      </c>
      <c r="F129">
        <f>MAX(0,F128-$B$5*F128*G128/$B$3)</f>
        <v>46.205145532554</v>
      </c>
      <c r="G129">
        <f>MAX(0,G128+$B$5*F128*G128/$B$3-$B$6*G128-$B$7*G128)</f>
        <v>0.00469942257802464</v>
      </c>
      <c r="H129">
        <f t="shared" si="4"/>
        <v>733.684734649898</v>
      </c>
      <c r="I129">
        <f t="shared" si="5"/>
        <v>220.105420394969</v>
      </c>
    </row>
    <row r="130" spans="5:9">
      <c r="E130">
        <f t="shared" si="3"/>
        <v>126</v>
      </c>
      <c r="F130">
        <f>MAX(0,F129-$B$5*F129*G129/$B$3)</f>
        <v>46.2050586775524</v>
      </c>
      <c r="G130">
        <f>MAX(0,G129+$B$5*F129*G129/$B$3-$B$6*G129-$B$7*G129)</f>
        <v>0.00417535264453607</v>
      </c>
      <c r="H130">
        <f t="shared" si="4"/>
        <v>733.685204592156</v>
      </c>
      <c r="I130">
        <f t="shared" si="5"/>
        <v>220.105561377647</v>
      </c>
    </row>
    <row r="131" spans="5:9">
      <c r="E131">
        <f t="shared" si="3"/>
        <v>127</v>
      </c>
      <c r="F131">
        <f>MAX(0,F130-$B$5*F130*G130/$B$3)</f>
        <v>46.2049815085868</v>
      </c>
      <c r="G131">
        <f>MAX(0,G130+$B$5*F130*G130/$B$3-$B$6*G130-$B$7*G130)</f>
        <v>0.00370972576632249</v>
      </c>
      <c r="H131">
        <f t="shared" si="4"/>
        <v>733.685622127421</v>
      </c>
      <c r="I131">
        <f t="shared" si="5"/>
        <v>220.105686638226</v>
      </c>
    </row>
    <row r="132" spans="5:9">
      <c r="E132">
        <f t="shared" si="3"/>
        <v>128</v>
      </c>
      <c r="F132">
        <f>MAX(0,F131-$B$5*F131*G131/$B$3)</f>
        <v>46.2049129454626</v>
      </c>
      <c r="G132">
        <f>MAX(0,G131+$B$5*F131*G131/$B$3-$B$6*G131-$B$7*G131)</f>
        <v>0.00329602454087451</v>
      </c>
      <c r="H132">
        <f t="shared" si="4"/>
        <v>733.685993099997</v>
      </c>
      <c r="I132">
        <f t="shared" si="5"/>
        <v>220.105797929999</v>
      </c>
    </row>
    <row r="133" spans="5:9">
      <c r="E133">
        <f t="shared" ref="E133:E153" si="6">E132+1</f>
        <v>129</v>
      </c>
      <c r="F133">
        <f>MAX(0,F132-$B$5*F132*G132/$B$3)</f>
        <v>46.2048520284518</v>
      </c>
      <c r="G133">
        <f>MAX(0,G132+$B$5*F132*G132/$B$3-$B$6*G132-$B$7*G132)</f>
        <v>0.00292845836135171</v>
      </c>
      <c r="H133">
        <f t="shared" ref="H133:H153" si="7">H132+$B$6*G132</f>
        <v>733.686322702452</v>
      </c>
      <c r="I133">
        <f t="shared" ref="I133:I153" si="8">I132+$B$7*G132</f>
        <v>220.105896810735</v>
      </c>
    </row>
    <row r="134" spans="5:9">
      <c r="E134">
        <f t="shared" si="6"/>
        <v>130</v>
      </c>
      <c r="F134">
        <f>MAX(0,F133-$B$5*F133*G133/$B$3)</f>
        <v>46.2047979048577</v>
      </c>
      <c r="G134">
        <f>MAX(0,G133+$B$5*F133*G133/$B$3-$B$6*G133-$B$7*G133)</f>
        <v>0.00260188236847908</v>
      </c>
      <c r="H134">
        <f t="shared" si="7"/>
        <v>733.686615548288</v>
      </c>
      <c r="I134">
        <f t="shared" si="8"/>
        <v>220.105984664486</v>
      </c>
    </row>
    <row r="135" spans="5:9">
      <c r="E135">
        <f t="shared" si="6"/>
        <v>131</v>
      </c>
      <c r="F135">
        <f>MAX(0,F134-$B$5*F134*G134/$B$3)</f>
        <v>46.2047498170781</v>
      </c>
      <c r="G135">
        <f>MAX(0,G134+$B$5*F134*G134/$B$3-$B$6*G134-$B$7*G134)</f>
        <v>0.00231172544017992</v>
      </c>
      <c r="H135">
        <f t="shared" si="7"/>
        <v>733.686875736525</v>
      </c>
      <c r="I135">
        <f t="shared" si="8"/>
        <v>220.106062720957</v>
      </c>
    </row>
    <row r="136" spans="5:9">
      <c r="E136">
        <f t="shared" si="6"/>
        <v>132</v>
      </c>
      <c r="F136">
        <f>MAX(0,F135-$B$5*F135*G135/$B$3)</f>
        <v>46.2047070919999</v>
      </c>
      <c r="G136">
        <f>MAX(0,G135+$B$5*F135*G135/$B$3-$B$6*G135-$B$7*G135)</f>
        <v>0.00205392621120024</v>
      </c>
      <c r="H136">
        <f t="shared" si="7"/>
        <v>733.687106909069</v>
      </c>
      <c r="I136">
        <f t="shared" si="8"/>
        <v>220.10613207272</v>
      </c>
    </row>
    <row r="137" spans="5:9">
      <c r="E137">
        <f t="shared" si="6"/>
        <v>133</v>
      </c>
      <c r="F137">
        <f>MAX(0,F136-$B$5*F136*G136/$B$3)</f>
        <v>46.2046691315763</v>
      </c>
      <c r="G137">
        <f>MAX(0,G136+$B$5*F136*G136/$B$3-$B$6*G136-$B$7*G136)</f>
        <v>0.00182487622733505</v>
      </c>
      <c r="H137">
        <f t="shared" si="7"/>
        <v>733.68731230169</v>
      </c>
      <c r="I137">
        <f t="shared" si="8"/>
        <v>220.106193690507</v>
      </c>
    </row>
    <row r="138" spans="5:9">
      <c r="E138">
        <f t="shared" si="6"/>
        <v>134</v>
      </c>
      <c r="F138">
        <f>MAX(0,F137-$B$5*F137*G137/$B$3)</f>
        <v>46.2046354044554</v>
      </c>
      <c r="G138">
        <f>MAX(0,G137+$B$5*F137*G137/$B$3-$B$6*G137-$B$7*G137)</f>
        <v>0.00162136943869753</v>
      </c>
      <c r="H138">
        <f t="shared" si="7"/>
        <v>733.687494789312</v>
      </c>
      <c r="I138">
        <f t="shared" si="8"/>
        <v>220.106248436793</v>
      </c>
    </row>
    <row r="139" spans="5:9">
      <c r="E139">
        <f t="shared" si="6"/>
        <v>135</v>
      </c>
      <c r="F139">
        <f>MAX(0,F138-$B$5*F138*G138/$B$3)</f>
        <v>46.2046054385419</v>
      </c>
      <c r="G139">
        <f>MAX(0,G138+$B$5*F138*G138/$B$3-$B$6*G138-$B$7*G138)</f>
        <v>0.00144055732517523</v>
      </c>
      <c r="H139">
        <f t="shared" si="7"/>
        <v>733.687656926256</v>
      </c>
      <c r="I139">
        <f t="shared" si="8"/>
        <v>220.106297077877</v>
      </c>
    </row>
    <row r="140" spans="5:9">
      <c r="E140">
        <f t="shared" si="6"/>
        <v>136</v>
      </c>
      <c r="F140">
        <f>MAX(0,F139-$B$5*F139*G139/$B$3)</f>
        <v>46.2045788143887</v>
      </c>
      <c r="G140">
        <f>MAX(0,G139+$B$5*F139*G139/$B$3-$B$6*G139-$B$7*G139)</f>
        <v>0.00127990902603098</v>
      </c>
      <c r="H140">
        <f t="shared" si="7"/>
        <v>733.687800981989</v>
      </c>
      <c r="I140">
        <f t="shared" si="8"/>
        <v>220.106340294596</v>
      </c>
    </row>
    <row r="141" spans="5:9">
      <c r="E141">
        <f t="shared" si="6"/>
        <v>137</v>
      </c>
      <c r="F141">
        <f>MAX(0,F140-$B$5*F140*G140/$B$3)</f>
        <v>46.2045551593257</v>
      </c>
      <c r="G141">
        <f>MAX(0,G140+$B$5*F140*G140/$B$3-$B$6*G140-$B$7*G140)</f>
        <v>0.00113717591563435</v>
      </c>
      <c r="H141">
        <f t="shared" si="7"/>
        <v>733.687928972891</v>
      </c>
      <c r="I141">
        <f t="shared" si="8"/>
        <v>220.106378691867</v>
      </c>
    </row>
    <row r="142" spans="5:9">
      <c r="E142">
        <f t="shared" si="6"/>
        <v>138</v>
      </c>
      <c r="F142">
        <f>MAX(0,F141-$B$5*F141*G141/$B$3)</f>
        <v>46.2045341422428</v>
      </c>
      <c r="G142">
        <f>MAX(0,G141+$B$5*F141*G141/$B$3-$B$6*G141-$B$7*G141)</f>
        <v>0.0010103601295298</v>
      </c>
      <c r="H142">
        <f t="shared" si="7"/>
        <v>733.688042690483</v>
      </c>
      <c r="I142">
        <f t="shared" si="8"/>
        <v>220.106412807145</v>
      </c>
    </row>
    <row r="143" spans="5:9">
      <c r="E143">
        <f t="shared" si="6"/>
        <v>139</v>
      </c>
      <c r="F143">
        <f>MAX(0,F142-$B$5*F142*G142/$B$3)</f>
        <v>46.2045154689552</v>
      </c>
      <c r="G143">
        <f>MAX(0,G142+$B$5*F142*G142/$B$3-$B$6*G142-$B$7*G142)</f>
        <v>0.000897686600331251</v>
      </c>
      <c r="H143">
        <f t="shared" si="7"/>
        <v>733.688143726496</v>
      </c>
      <c r="I143">
        <f t="shared" si="8"/>
        <v>220.106443117948</v>
      </c>
    </row>
    <row r="144" spans="5:9">
      <c r="E144">
        <f t="shared" si="6"/>
        <v>140</v>
      </c>
      <c r="F144">
        <f>MAX(0,F143-$B$5*F143*G143/$B$3)</f>
        <v>46.2044988780854</v>
      </c>
      <c r="G144">
        <f>MAX(0,G143+$B$5*F143*G143/$B$3-$B$6*G143-$B$7*G143)</f>
        <v>0.0007975782120527</v>
      </c>
      <c r="H144">
        <f t="shared" si="7"/>
        <v>733.688233495156</v>
      </c>
      <c r="I144">
        <f t="shared" si="8"/>
        <v>220.106470048546</v>
      </c>
    </row>
    <row r="145" spans="5:9">
      <c r="E145">
        <f t="shared" si="6"/>
        <v>141</v>
      </c>
      <c r="F145">
        <f>MAX(0,F144-$B$5*F144*G144/$B$3)</f>
        <v>46.2044841374048</v>
      </c>
      <c r="G145">
        <f>MAX(0,G144+$B$5*F144*G144/$B$3-$B$6*G144-$B$7*G144)</f>
        <v>0.000708633725127439</v>
      </c>
      <c r="H145">
        <f t="shared" si="7"/>
        <v>733.688313252977</v>
      </c>
      <c r="I145">
        <f t="shared" si="8"/>
        <v>220.106493975893</v>
      </c>
    </row>
    <row r="146" spans="5:9">
      <c r="E146">
        <f t="shared" si="6"/>
        <v>142</v>
      </c>
      <c r="F146">
        <f>MAX(0,F145-$B$5*F145*G145/$B$3)</f>
        <v>46.2044710405825</v>
      </c>
      <c r="G146">
        <f>MAX(0,G145+$B$5*F145*G145/$B$3-$B$6*G145-$B$7*G145)</f>
        <v>0.000629608163145624</v>
      </c>
      <c r="H146">
        <f t="shared" si="7"/>
        <v>733.68838411635</v>
      </c>
      <c r="I146">
        <f t="shared" si="8"/>
        <v>220.106515234905</v>
      </c>
    </row>
    <row r="147" spans="5:9">
      <c r="E147">
        <f t="shared" si="6"/>
        <v>143</v>
      </c>
      <c r="F147">
        <f>MAX(0,F146-$B$5*F146*G146/$B$3)</f>
        <v>46.2044594042976</v>
      </c>
      <c r="G147">
        <f>MAX(0,G146+$B$5*F146*G146/$B$3-$B$6*G146-$B$7*G146)</f>
        <v>0.000559395386793084</v>
      </c>
      <c r="H147">
        <f t="shared" si="7"/>
        <v>733.688447077166</v>
      </c>
      <c r="I147">
        <f t="shared" si="8"/>
        <v>220.106534123149</v>
      </c>
    </row>
    <row r="148" spans="5:9">
      <c r="E148">
        <f t="shared" si="6"/>
        <v>144</v>
      </c>
      <c r="F148">
        <f>MAX(0,F147-$B$5*F147*G147/$B$3)</f>
        <v>46.2044490656731</v>
      </c>
      <c r="G148">
        <f>MAX(0,G147+$B$5*F147*G147/$B$3-$B$6*G147-$B$7*G147)</f>
        <v>0.000497012611085996</v>
      </c>
      <c r="H148">
        <f t="shared" si="7"/>
        <v>733.688503016705</v>
      </c>
      <c r="I148">
        <f t="shared" si="8"/>
        <v>220.106550905011</v>
      </c>
    </row>
    <row r="149" spans="5:9">
      <c r="E149">
        <f t="shared" si="6"/>
        <v>145</v>
      </c>
      <c r="F149">
        <f>MAX(0,F148-$B$5*F148*G148/$B$3)</f>
        <v>46.2044398799955</v>
      </c>
      <c r="G149">
        <f>MAX(0,G148+$B$5*F148*G148/$B$3-$B$6*G148-$B$7*G148)</f>
        <v>0.000441586649194384</v>
      </c>
      <c r="H149">
        <f t="shared" si="7"/>
        <v>733.688552717966</v>
      </c>
      <c r="I149">
        <f t="shared" si="8"/>
        <v>220.106565815389</v>
      </c>
    </row>
    <row r="150" spans="5:9">
      <c r="E150">
        <f t="shared" si="6"/>
        <v>146</v>
      </c>
      <c r="F150">
        <f>MAX(0,F149-$B$5*F149*G149/$B$3)</f>
        <v>46.20443171869</v>
      </c>
      <c r="G150">
        <f>MAX(0,G149+$B$5*F149*G149/$B$3-$B$6*G149-$B$7*G149)</f>
        <v>0.000392341690312918</v>
      </c>
      <c r="H150">
        <f t="shared" si="7"/>
        <v>733.688596876631</v>
      </c>
      <c r="I150">
        <f t="shared" si="8"/>
        <v>220.106579062989</v>
      </c>
    </row>
    <row r="151" spans="5:9">
      <c r="E151">
        <f t="shared" si="6"/>
        <v>147</v>
      </c>
      <c r="F151">
        <f>MAX(0,F150-$B$5*F150*G150/$B$3)</f>
        <v>46.2044244675201</v>
      </c>
      <c r="G151">
        <f>MAX(0,G150+$B$5*F150*G150/$B$3-$B$6*G150-$B$7*G150)</f>
        <v>0.000348588440508423</v>
      </c>
      <c r="H151">
        <f t="shared" si="7"/>
        <v>733.6886361108</v>
      </c>
      <c r="I151">
        <f t="shared" si="8"/>
        <v>220.10659083324</v>
      </c>
    </row>
    <row r="152" spans="5:9">
      <c r="E152">
        <f t="shared" si="6"/>
        <v>148</v>
      </c>
      <c r="F152">
        <f>MAX(0,F151-$B$5*F151*G151/$B$3)</f>
        <v>46.2044180249887</v>
      </c>
      <c r="G152">
        <f>MAX(0,G151+$B$5*F151*G151/$B$3-$B$6*G151-$B$7*G151)</f>
        <v>0.000309714474550216</v>
      </c>
      <c r="H152">
        <f t="shared" si="7"/>
        <v>733.688670969644</v>
      </c>
      <c r="I152">
        <f t="shared" si="8"/>
        <v>220.106601290893</v>
      </c>
    </row>
    <row r="153" spans="5:9">
      <c r="E153">
        <f t="shared" si="6"/>
        <v>149</v>
      </c>
      <c r="F153">
        <f>MAX(0,F152-$B$5*F152*G152/$B$3)</f>
        <v>46.2044123009179</v>
      </c>
      <c r="G153">
        <f>MAX(0,G152+$B$5*F152*G152/$B$3-$B$6*G152-$B$7*G152)</f>
        <v>0.000275175663678891</v>
      </c>
      <c r="H153">
        <f t="shared" si="7"/>
        <v>733.688701941091</v>
      </c>
      <c r="I153">
        <f t="shared" si="8"/>
        <v>220.106610582327</v>
      </c>
    </row>
  </sheetData>
  <mergeCells count="1">
    <mergeCell ref="A10:C1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3"/>
  <sheetViews>
    <sheetView tabSelected="1" workbookViewId="0">
      <selection activeCell="B8" sqref="B8"/>
    </sheetView>
  </sheetViews>
  <sheetFormatPr defaultColWidth="9" defaultRowHeight="16.8"/>
  <cols>
    <col min="1" max="1" width="18" customWidth="1"/>
    <col min="2" max="5" width="11" customWidth="1"/>
    <col min="7" max="7" width="7" customWidth="1"/>
    <col min="8" max="11" width="10" customWidth="1"/>
    <col min="13" max="13" width="7" customWidth="1"/>
    <col min="14" max="17" width="11" customWidth="1"/>
    <col min="19" max="22" width="13" hidden="1" customWidth="1"/>
  </cols>
  <sheetData>
    <row r="1" ht="20.4" spans="1:1">
      <c r="A1" s="1" t="s">
        <v>75</v>
      </c>
    </row>
    <row r="2" spans="1:5">
      <c r="A2" s="2" t="s">
        <v>76</v>
      </c>
      <c r="B2" s="3" t="s">
        <v>77</v>
      </c>
      <c r="C2" s="3" t="s">
        <v>78</v>
      </c>
      <c r="D2" s="3" t="s">
        <v>79</v>
      </c>
      <c r="E2" s="3" t="s">
        <v>80</v>
      </c>
    </row>
    <row r="3" spans="1:17">
      <c r="A3" s="4" t="s">
        <v>25</v>
      </c>
      <c r="B3" s="5">
        <v>20</v>
      </c>
      <c r="C3" s="5">
        <v>20</v>
      </c>
      <c r="D3" s="5">
        <v>20</v>
      </c>
      <c r="E3" s="5">
        <v>20</v>
      </c>
      <c r="G3" s="9" t="s">
        <v>27</v>
      </c>
      <c r="H3" s="9" t="s">
        <v>77</v>
      </c>
      <c r="I3" s="9" t="s">
        <v>78</v>
      </c>
      <c r="J3" s="9" t="s">
        <v>79</v>
      </c>
      <c r="K3" s="9" t="s">
        <v>80</v>
      </c>
      <c r="M3" s="9" t="s">
        <v>27</v>
      </c>
      <c r="N3" s="9" t="s">
        <v>81</v>
      </c>
      <c r="O3" s="9" t="s">
        <v>82</v>
      </c>
      <c r="P3" s="9" t="s">
        <v>83</v>
      </c>
      <c r="Q3" s="9" t="s">
        <v>84</v>
      </c>
    </row>
    <row r="4" spans="1:22">
      <c r="A4" s="4" t="s">
        <v>31</v>
      </c>
      <c r="B4" s="5">
        <v>0.025</v>
      </c>
      <c r="C4" s="5">
        <v>0.012</v>
      </c>
      <c r="D4" s="5">
        <v>0.018</v>
      </c>
      <c r="E4" s="5">
        <v>0.035</v>
      </c>
      <c r="G4">
        <v>0</v>
      </c>
      <c r="H4">
        <f>B$3</f>
        <v>20</v>
      </c>
      <c r="I4">
        <f>C$3</f>
        <v>20</v>
      </c>
      <c r="J4">
        <f>D$3</f>
        <v>20</v>
      </c>
      <c r="K4">
        <f>E$3</f>
        <v>20</v>
      </c>
      <c r="M4">
        <v>0</v>
      </c>
      <c r="N4">
        <f>$B$11</f>
        <v>1</v>
      </c>
      <c r="O4">
        <f>$B$11</f>
        <v>1</v>
      </c>
      <c r="P4">
        <f>$B$11</f>
        <v>1</v>
      </c>
      <c r="Q4">
        <f>$B$11</f>
        <v>1</v>
      </c>
      <c r="S4">
        <f>$B$12-$B$11</f>
        <v>999</v>
      </c>
      <c r="T4">
        <f>$B$12-$B$11</f>
        <v>999</v>
      </c>
      <c r="U4">
        <f>$B$12-$B$11</f>
        <v>999</v>
      </c>
      <c r="V4">
        <f>$B$12-$B$11</f>
        <v>999</v>
      </c>
    </row>
    <row r="5" spans="1:22">
      <c r="A5" s="4" t="s">
        <v>33</v>
      </c>
      <c r="B5" s="5">
        <v>1800</v>
      </c>
      <c r="C5" s="5">
        <v>1200</v>
      </c>
      <c r="D5" s="5">
        <v>1500</v>
      </c>
      <c r="E5" s="5">
        <v>2200</v>
      </c>
      <c r="G5">
        <f t="shared" ref="G5:G68" si="0">G4+1</f>
        <v>1</v>
      </c>
      <c r="H5">
        <f>H4+B$4*H4*(1-H4/B$5)</f>
        <v>20.4944444444444</v>
      </c>
      <c r="I5">
        <f>I4+C$4*I4*(1-I4/C$5)</f>
        <v>20.236</v>
      </c>
      <c r="J5">
        <f>J4+D$4*J4*(1-J4/D$5)</f>
        <v>20.3552</v>
      </c>
      <c r="K5">
        <f>K4+E$4*K4*(1-K4/E$5)</f>
        <v>20.6936363636364</v>
      </c>
      <c r="M5">
        <f t="shared" ref="M5:M68" si="1">M4+1</f>
        <v>1</v>
      </c>
      <c r="N5">
        <f t="shared" ref="N5:N68" si="2">MAX(0,N4+($B$8*(1-B$6))*S4*N4/$B$12-$B$9*N4-$B$10*N4)</f>
        <v>1.29955</v>
      </c>
      <c r="O5">
        <f t="shared" ref="O5:O68" si="3">MAX(0,O4+($B$8*(1-C$6))*T4*O4/$B$12-$B$9*O4-$B$10*O4)</f>
        <v>1.19965</v>
      </c>
      <c r="P5">
        <f t="shared" ref="P5:P68" si="4">MAX(0,P4+($B$8*(1-D$6))*U4*P4/$B$12-$B$9*P4-$B$10*P4)</f>
        <v>1.2496</v>
      </c>
      <c r="Q5">
        <f t="shared" ref="Q5:Q68" si="5">MAX(0,Q4+($B$8*(1-E$6))*V4*Q4/$B$12-$B$9*Q4-$B$10*Q4)</f>
        <v>1.0498</v>
      </c>
      <c r="S5">
        <f t="shared" ref="S5:S68" si="6">MAX(0,S4-($B$8*(1-B$6))*S4*N4/$B$12)</f>
        <v>998.55045</v>
      </c>
      <c r="T5">
        <f t="shared" ref="T5:T68" si="7">MAX(0,T4-($B$8*(1-C$6))*T4*O4/$B$12)</f>
        <v>998.65035</v>
      </c>
      <c r="U5">
        <f t="shared" ref="U5:U68" si="8">MAX(0,U4-($B$8*(1-D$6))*U4*P4/$B$12)</f>
        <v>998.6004</v>
      </c>
      <c r="V5">
        <f t="shared" ref="V5:V68" si="9">MAX(0,V4-($B$8*(1-E$6))*V4*Q4/$B$12)</f>
        <v>998.8002</v>
      </c>
    </row>
    <row r="6" spans="1:22">
      <c r="A6" s="4" t="s">
        <v>85</v>
      </c>
      <c r="B6" s="5">
        <v>0.1</v>
      </c>
      <c r="C6" s="5">
        <v>0.3</v>
      </c>
      <c r="D6" s="5">
        <v>0.2</v>
      </c>
      <c r="E6" s="5">
        <v>0.6</v>
      </c>
      <c r="G6">
        <f t="shared" si="0"/>
        <v>2</v>
      </c>
      <c r="H6">
        <f>H5+B$4*H5*(1-H5/B$5)</f>
        <v>21.0009719131516</v>
      </c>
      <c r="I6">
        <f>I5+C$4*I5*(1-I5/C$5)</f>
        <v>20.47473704304</v>
      </c>
      <c r="J6">
        <f>J5+D$4*J5*(1-J5/D$5)</f>
        <v>20.7166215899955</v>
      </c>
      <c r="K6">
        <f>K5+E$4*K5*(1-K5/E$5)</f>
        <v>21.4111009406781</v>
      </c>
      <c r="M6">
        <f t="shared" si="1"/>
        <v>2</v>
      </c>
      <c r="N6">
        <f t="shared" si="2"/>
        <v>1.68856730678387</v>
      </c>
      <c r="O6">
        <f t="shared" si="3"/>
        <v>1.43901331233212</v>
      </c>
      <c r="P6">
        <f t="shared" si="4"/>
        <v>1.561300423936</v>
      </c>
      <c r="Q6">
        <f t="shared" si="5"/>
        <v>1.102038089992</v>
      </c>
      <c r="S6">
        <f t="shared" si="6"/>
        <v>997.966500193216</v>
      </c>
      <c r="T6">
        <f t="shared" si="7"/>
        <v>998.231039187668</v>
      </c>
      <c r="U6">
        <f t="shared" si="8"/>
        <v>998.101259576064</v>
      </c>
      <c r="V6">
        <f t="shared" si="9"/>
        <v>998.590491910008</v>
      </c>
    </row>
    <row r="7" spans="7:22">
      <c r="G7">
        <f t="shared" si="0"/>
        <v>3</v>
      </c>
      <c r="H7">
        <f>H6+B$4*H6*(1-H6/B$5)</f>
        <v>21.5198706440179</v>
      </c>
      <c r="I7">
        <f>I6+C$4*I6*(1-I6/C$5)</f>
        <v>20.7162417389867</v>
      </c>
      <c r="J7">
        <f>J6+D$4*J6*(1-J6/D$5)</f>
        <v>21.0843706376942</v>
      </c>
      <c r="K7">
        <f>K6+E$4*K6*(1-K6/E$5)</f>
        <v>22.1531961856372</v>
      </c>
      <c r="M7">
        <f t="shared" si="1"/>
        <v>3</v>
      </c>
      <c r="N7">
        <f t="shared" si="2"/>
        <v>2.1935923332376</v>
      </c>
      <c r="O7">
        <f t="shared" si="3"/>
        <v>1.72592502944327</v>
      </c>
      <c r="P7">
        <f t="shared" si="4"/>
        <v>1.95043972822847</v>
      </c>
      <c r="Q7">
        <f t="shared" si="5"/>
        <v>1.15682932817094</v>
      </c>
      <c r="S7">
        <f t="shared" si="6"/>
        <v>997.208190070745</v>
      </c>
      <c r="T7">
        <f t="shared" si="7"/>
        <v>997.728275473707</v>
      </c>
      <c r="U7">
        <f t="shared" si="8"/>
        <v>997.477925208181</v>
      </c>
      <c r="V7">
        <f t="shared" si="9"/>
        <v>998.37039495833</v>
      </c>
    </row>
    <row r="8" spans="1:22">
      <c r="A8" s="4" t="s">
        <v>86</v>
      </c>
      <c r="B8" s="6">
        <v>0.5</v>
      </c>
      <c r="G8">
        <f t="shared" si="0"/>
        <v>4</v>
      </c>
      <c r="H8">
        <f>H7+B$4*H7*(1-H7/B$5)</f>
        <v>22.0514353985554</v>
      </c>
      <c r="I8">
        <f>I7+C$4*I7*(1-I7/C$5)</f>
        <v>20.9605450131366</v>
      </c>
      <c r="J8">
        <f>J7+D$4*J7*(1-J7/D$5)</f>
        <v>21.4585547009504</v>
      </c>
      <c r="K8">
        <f>K7+E$4*K7*(1-K7/E$5)</f>
        <v>22.9207504414329</v>
      </c>
      <c r="M8">
        <f t="shared" si="1"/>
        <v>4</v>
      </c>
      <c r="N8">
        <f t="shared" si="2"/>
        <v>2.84891419142338</v>
      </c>
      <c r="O8">
        <f t="shared" si="3"/>
        <v>2.06973774615495</v>
      </c>
      <c r="P8">
        <f t="shared" si="4"/>
        <v>2.43608199833697</v>
      </c>
      <c r="Q8">
        <f t="shared" si="5"/>
        <v>1.21429375959837</v>
      </c>
      <c r="S8">
        <f t="shared" si="6"/>
        <v>996.223829362573</v>
      </c>
      <c r="T8">
        <f t="shared" si="7"/>
        <v>997.125574002579</v>
      </c>
      <c r="U8">
        <f t="shared" si="8"/>
        <v>996.699716978838</v>
      </c>
      <c r="V8">
        <f t="shared" si="9"/>
        <v>998.139406127677</v>
      </c>
    </row>
    <row r="9" spans="1:22">
      <c r="A9" s="4" t="s">
        <v>87</v>
      </c>
      <c r="B9" s="6">
        <v>0.1</v>
      </c>
      <c r="G9">
        <f t="shared" si="0"/>
        <v>5</v>
      </c>
      <c r="H9">
        <f>H8+B$4*H8*(1-H8/B$5)</f>
        <v>22.595967591809</v>
      </c>
      <c r="I9">
        <f>I8+C$4*I8*(1-I8/C$5)</f>
        <v>21.2076781088218</v>
      </c>
      <c r="J9">
        <f>J8+D$4*J8*(1-J8/D$5)</f>
        <v>21.8392830507293</v>
      </c>
      <c r="K9">
        <f>K8+E$4*K8*(1-K8/E$5)</f>
        <v>23.7146186941431</v>
      </c>
      <c r="M9">
        <f t="shared" si="1"/>
        <v>5</v>
      </c>
      <c r="N9">
        <f t="shared" si="2"/>
        <v>3.6987473550972</v>
      </c>
      <c r="O9">
        <f t="shared" si="3"/>
        <v>2.48160303759105</v>
      </c>
      <c r="P9">
        <f t="shared" si="4"/>
        <v>3.04188659389831</v>
      </c>
      <c r="Q9">
        <f t="shared" si="5"/>
        <v>1.27455658607263</v>
      </c>
      <c r="S9">
        <f t="shared" si="6"/>
        <v>994.946659070186</v>
      </c>
      <c r="T9">
        <f t="shared" si="7"/>
        <v>996.403248049219</v>
      </c>
      <c r="U9">
        <f t="shared" si="8"/>
        <v>995.728500083527</v>
      </c>
      <c r="V9">
        <f t="shared" si="9"/>
        <v>997.896999237263</v>
      </c>
    </row>
    <row r="10" spans="1:22">
      <c r="A10" s="4" t="s">
        <v>88</v>
      </c>
      <c r="B10" s="6">
        <v>0.05</v>
      </c>
      <c r="G10">
        <f t="shared" si="0"/>
        <v>6</v>
      </c>
      <c r="H10">
        <f>H9+B$4*H9*(1-H9/B$5)</f>
        <v>23.1537754239458</v>
      </c>
      <c r="I10">
        <f>I9+C$4*I9*(1-I9/C$5)</f>
        <v>21.45767259002</v>
      </c>
      <c r="J10">
        <f>J9+D$4*J9*(1-J9/D$5)</f>
        <v>22.2266666942324</v>
      </c>
      <c r="K10">
        <f>K9+E$4*K9*(1-K9/E$5)</f>
        <v>24.5356833439411</v>
      </c>
      <c r="M10">
        <f t="shared" si="1"/>
        <v>6</v>
      </c>
      <c r="N10">
        <f t="shared" si="2"/>
        <v>4.79996059749701</v>
      </c>
      <c r="O10">
        <f t="shared" si="3"/>
        <v>2.97479964641098</v>
      </c>
      <c r="P10">
        <f t="shared" si="4"/>
        <v>3.79716087504018</v>
      </c>
      <c r="Q10">
        <f t="shared" si="5"/>
        <v>1.33774833668173</v>
      </c>
      <c r="S10">
        <f t="shared" si="6"/>
        <v>993.290633724522</v>
      </c>
      <c r="T10">
        <f t="shared" si="7"/>
        <v>995.537810984761</v>
      </c>
      <c r="U10">
        <f t="shared" si="8"/>
        <v>994.5169428133</v>
      </c>
      <c r="V10">
        <f t="shared" si="9"/>
        <v>997.642623998743</v>
      </c>
    </row>
    <row r="11" spans="1:22">
      <c r="A11" s="4" t="s">
        <v>65</v>
      </c>
      <c r="B11" s="6">
        <v>1</v>
      </c>
      <c r="G11">
        <f t="shared" si="0"/>
        <v>7</v>
      </c>
      <c r="H11">
        <f>H10+B$4*H10*(1-H10/B$5)</f>
        <v>23.7251740134835</v>
      </c>
      <c r="I11">
        <f>I10+C$4*I10*(1-I10/C$5)</f>
        <v>21.7105603439704</v>
      </c>
      <c r="J11">
        <f>J10+D$4*J10*(1-J10/D$5)</f>
        <v>22.6208183981805</v>
      </c>
      <c r="K11">
        <f>K10+E$4*K10*(1-K10/E$5)</f>
        <v>25.3848549921153</v>
      </c>
      <c r="M11">
        <f t="shared" si="1"/>
        <v>7</v>
      </c>
      <c r="N11">
        <f t="shared" si="2"/>
        <v>6.2254566645557</v>
      </c>
      <c r="O11">
        <f t="shared" si="3"/>
        <v>3.56511363428651</v>
      </c>
      <c r="P11">
        <f t="shared" si="4"/>
        <v>4.73812307371025</v>
      </c>
      <c r="Q11">
        <f t="shared" si="5"/>
        <v>1.40400503835089</v>
      </c>
      <c r="S11">
        <f t="shared" si="6"/>
        <v>991.145143567838</v>
      </c>
      <c r="T11">
        <f t="shared" si="7"/>
        <v>994.501277049924</v>
      </c>
      <c r="U11">
        <f t="shared" si="8"/>
        <v>993.006406483374</v>
      </c>
      <c r="V11">
        <f t="shared" si="9"/>
        <v>997.375705046572</v>
      </c>
    </row>
    <row r="12" spans="1:22">
      <c r="A12" s="4" t="s">
        <v>89</v>
      </c>
      <c r="B12" s="6">
        <v>1000</v>
      </c>
      <c r="G12">
        <f t="shared" si="0"/>
        <v>8</v>
      </c>
      <c r="H12">
        <f>H11+B$4*H11*(1-H11/B$5)</f>
        <v>24.3104855321266</v>
      </c>
      <c r="I12">
        <f>I11+C$4*I11*(1-I11/C$5)</f>
        <v>21.9663735837936</v>
      </c>
      <c r="J12">
        <f>J11+D$4*J11*(1-J11/D$5)</f>
        <v>23.0218527122478</v>
      </c>
      <c r="K12">
        <f>K11+E$4*K11*(1-K11/E$5)</f>
        <v>26.2630732440193</v>
      </c>
      <c r="M12">
        <f t="shared" si="1"/>
        <v>8</v>
      </c>
      <c r="N12">
        <f t="shared" si="2"/>
        <v>8.06828717767723</v>
      </c>
      <c r="O12">
        <f t="shared" si="3"/>
        <v>4.27127511088765</v>
      </c>
      <c r="P12">
        <f t="shared" si="4"/>
        <v>5.9093992394141</v>
      </c>
      <c r="Q12">
        <f t="shared" si="5"/>
        <v>1.47346838560109</v>
      </c>
      <c r="S12">
        <f t="shared" si="6"/>
        <v>988.368494555034</v>
      </c>
      <c r="T12">
        <f t="shared" si="7"/>
        <v>993.26034852818</v>
      </c>
      <c r="U12">
        <f t="shared" si="8"/>
        <v>991.124411856613</v>
      </c>
      <c r="V12">
        <f t="shared" si="9"/>
        <v>997.095640943569</v>
      </c>
    </row>
    <row r="13" spans="1:22">
      <c r="A13" s="7" t="s">
        <v>90</v>
      </c>
      <c r="G13">
        <f t="shared" si="0"/>
        <v>9</v>
      </c>
      <c r="H13">
        <f>H12+B$4*H12*(1-H12/B$5)</f>
        <v>24.9100393411686</v>
      </c>
      <c r="I13">
        <f>I12+C$4*I12*(1-I12/C$5)</f>
        <v>22.2251448511149</v>
      </c>
      <c r="J13">
        <f>J12+D$4*J12*(1-J12/D$5)</f>
        <v>23.4298859926406</v>
      </c>
      <c r="K13">
        <f>K12+E$4*K12*(1-K12/E$5)</f>
        <v>27.1713075277565</v>
      </c>
      <c r="M13">
        <f t="shared" si="1"/>
        <v>9</v>
      </c>
      <c r="N13">
        <f t="shared" si="2"/>
        <v>10.446542484173</v>
      </c>
      <c r="O13">
        <f t="shared" si="3"/>
        <v>5.1154547161095</v>
      </c>
      <c r="P13">
        <f t="shared" si="4"/>
        <v>7.36576929173807</v>
      </c>
      <c r="Q13">
        <f t="shared" si="5"/>
        <v>1.54628590863113</v>
      </c>
      <c r="S13">
        <f t="shared" si="6"/>
        <v>984.779996171886</v>
      </c>
      <c r="T13">
        <f t="shared" si="7"/>
        <v>991.775477656325</v>
      </c>
      <c r="U13">
        <f t="shared" si="8"/>
        <v>988.781631918377</v>
      </c>
      <c r="V13">
        <f t="shared" si="9"/>
        <v>996.801803162699</v>
      </c>
    </row>
    <row r="14" spans="1:22">
      <c r="A14" s="8" t="s">
        <v>91</v>
      </c>
      <c r="G14">
        <f t="shared" si="0"/>
        <v>10</v>
      </c>
      <c r="H14">
        <f>H13+B$4*H13*(1-H13/B$5)</f>
        <v>25.5241721294203</v>
      </c>
      <c r="I14">
        <f>I13+C$4*I13*(1-I13/C$5)</f>
        <v>22.4869070186917</v>
      </c>
      <c r="J14">
        <f>J13+D$4*J13*(1-J13/D$5)</f>
        <v>23.8450364258166</v>
      </c>
      <c r="K14">
        <f>K13+E$4*K13*(1-K13/E$5)</f>
        <v>28.110557928343</v>
      </c>
      <c r="M14">
        <f t="shared" si="1"/>
        <v>10</v>
      </c>
      <c r="N14">
        <f t="shared" si="2"/>
        <v>13.508956841955</v>
      </c>
      <c r="O14">
        <f t="shared" si="3"/>
        <v>6.12382039926766</v>
      </c>
      <c r="P14">
        <f t="shared" si="4"/>
        <v>9.17415885022498</v>
      </c>
      <c r="Q14">
        <f t="shared" si="5"/>
        <v>1.62261113872218</v>
      </c>
      <c r="S14">
        <f t="shared" si="6"/>
        <v>980.150600441478</v>
      </c>
      <c r="T14">
        <f t="shared" si="7"/>
        <v>989.99979376575</v>
      </c>
      <c r="U14">
        <f t="shared" si="8"/>
        <v>985.86837696613</v>
      </c>
      <c r="V14">
        <f t="shared" si="9"/>
        <v>996.493535046313</v>
      </c>
    </row>
    <row r="15" spans="7:22">
      <c r="G15">
        <f t="shared" si="0"/>
        <v>11</v>
      </c>
      <c r="H15">
        <f>H14+B$4*H14*(1-H14/B$5)</f>
        <v>26.1532280526156</v>
      </c>
      <c r="I15">
        <f>I14+C$4*I14*(1-I14/C$5)</f>
        <v>22.7516932930433</v>
      </c>
      <c r="J15">
        <f>J14+D$4*J14*(1-J14/D$5)</f>
        <v>24.2674240523355</v>
      </c>
      <c r="K15">
        <f>K14+E$4*K14*(1-K14/E$5)</f>
        <v>29.0818560370412</v>
      </c>
      <c r="M15">
        <f t="shared" si="1"/>
        <v>11</v>
      </c>
      <c r="N15">
        <f t="shared" si="2"/>
        <v>17.4409787876529</v>
      </c>
      <c r="O15">
        <f t="shared" si="3"/>
        <v>7.32715066569422</v>
      </c>
      <c r="P15">
        <f t="shared" si="4"/>
        <v>11.4158402609715</v>
      </c>
      <c r="Q15">
        <f t="shared" si="5"/>
        <v>1.70260376984001</v>
      </c>
      <c r="S15">
        <f t="shared" si="6"/>
        <v>974.192234969487</v>
      </c>
      <c r="T15">
        <f t="shared" si="7"/>
        <v>987.877890439433</v>
      </c>
      <c r="U15">
        <f t="shared" si="8"/>
        <v>982.250571727849</v>
      </c>
      <c r="V15">
        <f t="shared" si="9"/>
        <v>996.170150744387</v>
      </c>
    </row>
    <row r="16" spans="7:22">
      <c r="G16">
        <f t="shared" si="0"/>
        <v>12</v>
      </c>
      <c r="H16">
        <f>H15+B$4*H15*(1-H15/B$5)</f>
        <v>26.7975588742425</v>
      </c>
      <c r="I16">
        <f>I15+C$4*I15*(1-I15/C$5)</f>
        <v>23.0195372170828</v>
      </c>
      <c r="J16">
        <f>J15+D$4*J15*(1-J15/D$5)</f>
        <v>24.6971707908359</v>
      </c>
      <c r="K16">
        <f>K15+E$4*K15*(1-K15/E$5)</f>
        <v>30.0862658154878</v>
      </c>
      <c r="M16">
        <f t="shared" si="1"/>
        <v>12</v>
      </c>
      <c r="N16">
        <f t="shared" si="2"/>
        <v>22.4707217168445</v>
      </c>
      <c r="O16">
        <f t="shared" si="3"/>
        <v>8.76149361573535</v>
      </c>
      <c r="P16">
        <f t="shared" si="4"/>
        <v>14.188750471063</v>
      </c>
      <c r="Q16">
        <f t="shared" si="5"/>
        <v>1.7864298151759</v>
      </c>
      <c r="S16">
        <f t="shared" si="6"/>
        <v>966.546345222148</v>
      </c>
      <c r="T16">
        <f t="shared" si="7"/>
        <v>985.344474889538</v>
      </c>
      <c r="U16">
        <f t="shared" si="8"/>
        <v>977.765285478612</v>
      </c>
      <c r="V16">
        <f t="shared" si="9"/>
        <v>995.830934133575</v>
      </c>
    </row>
    <row r="17" spans="7:22">
      <c r="G17">
        <f t="shared" si="0"/>
        <v>13</v>
      </c>
      <c r="H17">
        <f>H16+B$4*H16*(1-H16/B$5)</f>
        <v>27.4575241077428</v>
      </c>
      <c r="I17">
        <f>I16+C$4*I16*(1-I16/C$5)</f>
        <v>23.290472672751</v>
      </c>
      <c r="J17">
        <f>J16+D$4*J16*(1-J16/D$5)</f>
        <v>25.1344004621301</v>
      </c>
      <c r="K17">
        <f>K16+E$4*K16*(1-K16/E$5)</f>
        <v>31.1248844741775</v>
      </c>
      <c r="M17">
        <f t="shared" si="1"/>
        <v>13</v>
      </c>
      <c r="N17">
        <f t="shared" si="2"/>
        <v>28.8736607367818</v>
      </c>
      <c r="O17">
        <f t="shared" si="3"/>
        <v>10.4688508374907</v>
      </c>
      <c r="P17">
        <f t="shared" si="4"/>
        <v>17.6097449623731</v>
      </c>
      <c r="Q17">
        <f t="shared" si="5"/>
        <v>1.87426175722166</v>
      </c>
      <c r="S17">
        <f t="shared" si="6"/>
        <v>956.772797944684</v>
      </c>
      <c r="T17">
        <f t="shared" si="7"/>
        <v>982.322893625422</v>
      </c>
      <c r="U17">
        <f t="shared" si="8"/>
        <v>972.215978416643</v>
      </c>
      <c r="V17">
        <f t="shared" si="9"/>
        <v>995.475137719253</v>
      </c>
    </row>
    <row r="18" spans="7:22">
      <c r="G18">
        <f t="shared" si="0"/>
        <v>14</v>
      </c>
      <c r="H18">
        <f>H17+B$4*H17*(1-H17/B$5)</f>
        <v>28.1334911600179</v>
      </c>
      <c r="I18">
        <f>I17+C$4*I17*(1-I17/C$5)</f>
        <v>23.5645338836508</v>
      </c>
      <c r="J18">
        <f>J17+D$4*J17*(1-J17/D$5)</f>
        <v>25.5792388134093</v>
      </c>
      <c r="K18">
        <f>K17+E$4*K17*(1-K17/E$5)</f>
        <v>32.1988433647857</v>
      </c>
      <c r="M18">
        <f t="shared" si="1"/>
        <v>14</v>
      </c>
      <c r="N18">
        <f t="shared" si="2"/>
        <v>36.9741015527809</v>
      </c>
      <c r="O18">
        <f t="shared" si="3"/>
        <v>12.497850358533</v>
      </c>
      <c r="P18">
        <f t="shared" si="4"/>
        <v>21.8164733893216</v>
      </c>
      <c r="Q18">
        <f t="shared" si="5"/>
        <v>1.96627868981684</v>
      </c>
      <c r="S18">
        <f t="shared" si="6"/>
        <v>944.341308018167</v>
      </c>
      <c r="T18">
        <f t="shared" si="7"/>
        <v>978.723566478757</v>
      </c>
      <c r="U18">
        <f t="shared" si="8"/>
        <v>965.367788245338</v>
      </c>
      <c r="V18">
        <f t="shared" si="9"/>
        <v>995.101981523074</v>
      </c>
    </row>
    <row r="19" spans="7:22">
      <c r="G19">
        <f t="shared" si="0"/>
        <v>15</v>
      </c>
      <c r="H19">
        <f>H18+B$4*H18*(1-H18/B$5)</f>
        <v>28.8258354761732</v>
      </c>
      <c r="I19">
        <f>I18+C$4*I18*(1-I18/C$5)</f>
        <v>23.841755417683</v>
      </c>
      <c r="J19">
        <f>J18+D$4*J18*(1-J18/D$5)</f>
        <v>26.0318135425514</v>
      </c>
      <c r="K19">
        <f>K18+E$4*K18*(1-K18/E$5)</f>
        <v>33.3093088857391</v>
      </c>
      <c r="M19">
        <f t="shared" si="1"/>
        <v>15</v>
      </c>
      <c r="N19">
        <f t="shared" si="2"/>
        <v>47.140263460281</v>
      </c>
      <c r="O19">
        <f t="shared" si="3"/>
        <v>14.9043520414305</v>
      </c>
      <c r="P19">
        <f t="shared" si="4"/>
        <v>26.9683706461884</v>
      </c>
      <c r="Q19">
        <f t="shared" si="5"/>
        <v>2.06266645043698</v>
      </c>
      <c r="S19">
        <f t="shared" si="6"/>
        <v>928.62903087775</v>
      </c>
      <c r="T19">
        <f t="shared" si="7"/>
        <v>974.442387242079</v>
      </c>
      <c r="U19">
        <f t="shared" si="8"/>
        <v>956.943419980073</v>
      </c>
      <c r="V19">
        <f t="shared" si="9"/>
        <v>994.710651958982</v>
      </c>
    </row>
    <row r="20" spans="7:22">
      <c r="G20">
        <f t="shared" si="0"/>
        <v>16</v>
      </c>
      <c r="H20">
        <f>H19+B$4*H19*(1-H19/B$5)</f>
        <v>29.5349406854261</v>
      </c>
      <c r="I20">
        <f>I19+C$4*I19*(1-I19/C$5)</f>
        <v>24.1221721896813</v>
      </c>
      <c r="J20">
        <f>J19+D$4*J19*(1-J19/D$5)</f>
        <v>26.4922543225216</v>
      </c>
      <c r="K20">
        <f>K19+E$4*K19*(1-K19/E$5)</f>
        <v>34.4574834003556</v>
      </c>
      <c r="M20">
        <f t="shared" si="1"/>
        <v>16</v>
      </c>
      <c r="N20">
        <f t="shared" si="2"/>
        <v>59.7683416688381</v>
      </c>
      <c r="O20">
        <f t="shared" si="3"/>
        <v>17.7519005694577</v>
      </c>
      <c r="P20">
        <f t="shared" si="4"/>
        <v>33.2459969842416</v>
      </c>
      <c r="Q20">
        <f t="shared" si="5"/>
        <v>2.16361774080905</v>
      </c>
      <c r="S20">
        <f t="shared" si="6"/>
        <v>908.929913150151</v>
      </c>
      <c r="T20">
        <f t="shared" si="7"/>
        <v>969.359185907837</v>
      </c>
      <c r="U20">
        <f t="shared" si="8"/>
        <v>946.620538045092</v>
      </c>
      <c r="V20">
        <f t="shared" si="9"/>
        <v>994.300300701044</v>
      </c>
    </row>
    <row r="21" spans="7:22">
      <c r="G21">
        <f t="shared" si="0"/>
        <v>17</v>
      </c>
      <c r="H21">
        <f>H20+B$4*H20*(1-H20/B$5)</f>
        <v>30.2611987480994</v>
      </c>
      <c r="I21">
        <f>I20+C$4*I20*(1-I20/C$5)</f>
        <v>24.405819464046</v>
      </c>
      <c r="J21">
        <f>J20+D$4*J20*(1-J20/D$5)</f>
        <v>26.9606928258579</v>
      </c>
      <c r="K21">
        <f>K20+E$4*K20*(1-K20/E$5)</f>
        <v>35.6446061667862</v>
      </c>
      <c r="M21">
        <f t="shared" si="1"/>
        <v>17</v>
      </c>
      <c r="N21">
        <f t="shared" si="2"/>
        <v>75.2494455394958</v>
      </c>
      <c r="O21">
        <f t="shared" si="3"/>
        <v>21.1119042435532</v>
      </c>
      <c r="P21">
        <f t="shared" si="4"/>
        <v>40.8476348578327</v>
      </c>
      <c r="Q21">
        <f t="shared" si="5"/>
        <v>2.2693322337454</v>
      </c>
      <c r="S21">
        <f t="shared" si="6"/>
        <v>884.483558029167</v>
      </c>
      <c r="T21">
        <f t="shared" si="7"/>
        <v>963.336397148323</v>
      </c>
      <c r="U21">
        <f t="shared" si="8"/>
        <v>934.032000623865</v>
      </c>
      <c r="V21">
        <f t="shared" si="9"/>
        <v>993.870043546986</v>
      </c>
    </row>
    <row r="22" spans="7:22">
      <c r="G22">
        <f t="shared" si="0"/>
        <v>18</v>
      </c>
      <c r="H22">
        <f>H21+B$4*H21*(1-H21/B$5)</f>
        <v>31.005010103612</v>
      </c>
      <c r="I22">
        <f>I21+C$4*I21*(1-I21/C$5)</f>
        <v>24.6927328573774</v>
      </c>
      <c r="J22">
        <f>J21+D$4*J21*(1-J21/D$5)</f>
        <v>27.4372627492315</v>
      </c>
      <c r="K22">
        <f>K21+E$4*K21*(1-K21/E$5)</f>
        <v>36.8719542788931</v>
      </c>
      <c r="M22">
        <f t="shared" si="1"/>
        <v>18</v>
      </c>
      <c r="N22">
        <f t="shared" si="2"/>
        <v>93.9126325072944</v>
      </c>
      <c r="O22">
        <f t="shared" si="3"/>
        <v>25.063371626844</v>
      </c>
      <c r="P22">
        <f t="shared" si="4"/>
        <v>49.9816888719636</v>
      </c>
      <c r="Q22">
        <f t="shared" si="5"/>
        <v>2.38001666387862</v>
      </c>
      <c r="S22">
        <f t="shared" si="6"/>
        <v>854.532954230444</v>
      </c>
      <c r="T22">
        <f t="shared" si="7"/>
        <v>956.218144128499</v>
      </c>
      <c r="U22">
        <f t="shared" si="8"/>
        <v>918.770801381059</v>
      </c>
      <c r="V22">
        <f t="shared" si="9"/>
        <v>993.418959281791</v>
      </c>
    </row>
    <row r="23" spans="7:22">
      <c r="G23">
        <f t="shared" si="0"/>
        <v>19</v>
      </c>
      <c r="H23">
        <f>H22+B$4*H22*(1-H22/B$5)</f>
        <v>31.7667838193756</v>
      </c>
      <c r="I23">
        <f>I22+C$4*I22*(1-I22/C$5)</f>
        <v>24.9829483411063</v>
      </c>
      <c r="J23">
        <f>J22+D$4*J22*(1-J22/D$5)</f>
        <v>27.9220998380716</v>
      </c>
      <c r="K23">
        <f>K22+E$4*K22*(1-K22/E$5)</f>
        <v>38.1408436170943</v>
      </c>
      <c r="M23">
        <f t="shared" si="1"/>
        <v>19</v>
      </c>
      <c r="N23">
        <f t="shared" si="2"/>
        <v>115.938885314408</v>
      </c>
      <c r="O23">
        <f t="shared" si="3"/>
        <v>29.6919836287357</v>
      </c>
      <c r="P23">
        <f t="shared" si="4"/>
        <v>60.8531220768782</v>
      </c>
      <c r="Q23">
        <f t="shared" si="5"/>
        <v>2.49588489975755</v>
      </c>
      <c r="S23">
        <f t="shared" si="6"/>
        <v>818.419806547237</v>
      </c>
      <c r="T23">
        <f t="shared" si="7"/>
        <v>947.830026382581</v>
      </c>
      <c r="U23">
        <f t="shared" si="8"/>
        <v>900.40211484535</v>
      </c>
      <c r="V23">
        <f t="shared" si="9"/>
        <v>992.946088546331</v>
      </c>
    </row>
    <row r="24" spans="7:22">
      <c r="G24">
        <f t="shared" si="0"/>
        <v>20</v>
      </c>
      <c r="H24">
        <f>H23+B$4*H23*(1-H23/B$5)</f>
        <v>32.5469377404957</v>
      </c>
      <c r="I24">
        <f>I23+C$4*I23*(1-I23/C$5)</f>
        <v>25.2765022441214</v>
      </c>
      <c r="J24">
        <f>J23+D$4*J23*(1-J23/D$5)</f>
        <v>28.4153419112445</v>
      </c>
      <c r="K24">
        <f>K23+E$4*K23*(1-K23/E$5)</f>
        <v>39.4526298080954</v>
      </c>
      <c r="M24">
        <f t="shared" si="1"/>
        <v>20</v>
      </c>
      <c r="N24">
        <f t="shared" si="2"/>
        <v>141.24705855789</v>
      </c>
      <c r="O24">
        <f t="shared" si="3"/>
        <v>35.0882198535868</v>
      </c>
      <c r="P24">
        <f t="shared" si="4"/>
        <v>73.6420656905318</v>
      </c>
      <c r="Q24">
        <f t="shared" si="5"/>
        <v>2.61715799452914</v>
      </c>
      <c r="S24">
        <f t="shared" si="6"/>
        <v>775.720800506593</v>
      </c>
      <c r="T24">
        <f t="shared" si="7"/>
        <v>937.97999261342</v>
      </c>
      <c r="U24">
        <f t="shared" si="8"/>
        <v>878.485202920164</v>
      </c>
      <c r="V24">
        <f t="shared" si="9"/>
        <v>992.450432716595</v>
      </c>
    </row>
    <row r="25" spans="7:22">
      <c r="G25">
        <f t="shared" si="0"/>
        <v>21</v>
      </c>
      <c r="H25">
        <f>H24+B$4*H24*(1-H24/B$5)</f>
        <v>33.3458986401708</v>
      </c>
      <c r="I25">
        <f>I24+C$4*I24*(1-I24/C$5)</f>
        <v>25.5734312553939</v>
      </c>
      <c r="J25">
        <f>J24+D$4*J24*(1-J24/D$5)</f>
        <v>28.9171288857757</v>
      </c>
      <c r="K25">
        <f>K24+E$4*K24*(1-K24/E$5)</f>
        <v>40.8087091923073</v>
      </c>
      <c r="M25">
        <f t="shared" si="1"/>
        <v>21</v>
      </c>
      <c r="N25">
        <f t="shared" si="2"/>
        <v>169.365726374384</v>
      </c>
      <c r="O25">
        <f t="shared" si="3"/>
        <v>41.3442037452287</v>
      </c>
      <c r="P25">
        <f t="shared" si="4"/>
        <v>88.4731418455948</v>
      </c>
      <c r="Q25">
        <f t="shared" si="5"/>
        <v>2.74406421218139</v>
      </c>
      <c r="S25">
        <f t="shared" si="6"/>
        <v>726.415073906415</v>
      </c>
      <c r="T25">
        <f t="shared" si="7"/>
        <v>926.46077574374</v>
      </c>
      <c r="U25">
        <f t="shared" si="8"/>
        <v>852.607816911522</v>
      </c>
      <c r="V25">
        <f t="shared" si="9"/>
        <v>991.930952799764</v>
      </c>
    </row>
    <row r="26" spans="7:22">
      <c r="G26">
        <f t="shared" si="0"/>
        <v>22</v>
      </c>
      <c r="H26">
        <f>H25+B$4*H25*(1-H25/B$5)</f>
        <v>34.1641023706734</v>
      </c>
      <c r="I26">
        <f>I25+C$4*I25*(1-I25/C$5)</f>
        <v>25.8737724265969</v>
      </c>
      <c r="J26">
        <f>J25+D$4*J25*(1-J25/D$5)</f>
        <v>29.4276028016037</v>
      </c>
      <c r="K26">
        <f>K25+E$4*K25*(1-K25/E$5)</f>
        <v>42.2105197976254</v>
      </c>
      <c r="M26">
        <f t="shared" si="1"/>
        <v>22</v>
      </c>
      <c r="N26">
        <f t="shared" si="2"/>
        <v>199.324284906885</v>
      </c>
      <c r="O26">
        <f t="shared" si="3"/>
        <v>48.5488972594535</v>
      </c>
      <c r="P26">
        <f t="shared" si="4"/>
        <v>105.375327498466</v>
      </c>
      <c r="Q26">
        <f t="shared" si="5"/>
        <v>2.87683902606075</v>
      </c>
      <c r="S26">
        <f t="shared" si="6"/>
        <v>671.051656417757</v>
      </c>
      <c r="T26">
        <f t="shared" si="7"/>
        <v>913.054451667731</v>
      </c>
      <c r="U26">
        <f t="shared" si="8"/>
        <v>822.434659981811</v>
      </c>
      <c r="V26">
        <f t="shared" si="9"/>
        <v>991.386568354057</v>
      </c>
    </row>
    <row r="27" spans="7:22">
      <c r="G27">
        <f t="shared" si="0"/>
        <v>23</v>
      </c>
      <c r="H27">
        <f>H26+B$4*H26*(1-H26/B$5)</f>
        <v>35.0019940147903</v>
      </c>
      <c r="I27">
        <f>I26+C$4*I26*(1-I26/C$5)</f>
        <v>26.1775631747202</v>
      </c>
      <c r="J27">
        <f>J26+D$4*J26*(1-J26/D$5)</f>
        <v>29.9469078463528</v>
      </c>
      <c r="K27">
        <f>K26+E$4*K26*(1-K26/E$5)</f>
        <v>43.659542318108</v>
      </c>
      <c r="M27">
        <f t="shared" si="1"/>
        <v>23</v>
      </c>
      <c r="N27">
        <f t="shared" si="2"/>
        <v>229.616243368825</v>
      </c>
      <c r="O27">
        <f t="shared" si="3"/>
        <v>56.7812880387416</v>
      </c>
      <c r="P27">
        <f t="shared" si="4"/>
        <v>124.234757030365</v>
      </c>
      <c r="Q27">
        <f t="shared" si="5"/>
        <v>3.01572508610232</v>
      </c>
      <c r="S27">
        <f t="shared" si="6"/>
        <v>610.861055219785</v>
      </c>
      <c r="T27">
        <f t="shared" si="7"/>
        <v>897.539726299524</v>
      </c>
      <c r="U27">
        <f t="shared" si="8"/>
        <v>787.768931325142</v>
      </c>
      <c r="V27">
        <f t="shared" si="9"/>
        <v>990.816156440107</v>
      </c>
    </row>
    <row r="28" spans="7:22">
      <c r="G28">
        <f t="shared" si="0"/>
        <v>24</v>
      </c>
      <c r="H28">
        <f>H27+B$4*H27*(1-H27/B$5)</f>
        <v>35.8600280375905</v>
      </c>
      <c r="I28">
        <f>I27+C$4*I27*(1-I27/C$5)</f>
        <v>26.4848412846792</v>
      </c>
      <c r="J28">
        <f>J27+D$4*J27*(1-J27/D$5)</f>
        <v>30.4751903801125</v>
      </c>
      <c r="K28">
        <f>K27+E$4*K27*(1-K27/E$5)</f>
        <v>45.1573010959509</v>
      </c>
      <c r="M28">
        <f t="shared" si="1"/>
        <v>24</v>
      </c>
      <c r="N28">
        <f t="shared" si="2"/>
        <v>258.292436187448</v>
      </c>
      <c r="O28">
        <f t="shared" si="3"/>
        <v>66.1013064367597</v>
      </c>
      <c r="P28">
        <f t="shared" si="4"/>
        <v>144.74685618751</v>
      </c>
      <c r="Q28">
        <f t="shared" si="5"/>
        <v>3.16097215092535</v>
      </c>
      <c r="S28">
        <f t="shared" si="6"/>
        <v>547.742425895837</v>
      </c>
      <c r="T28">
        <f t="shared" si="7"/>
        <v>879.702514695695</v>
      </c>
      <c r="U28">
        <f t="shared" si="8"/>
        <v>748.621618613442</v>
      </c>
      <c r="V28">
        <f t="shared" si="9"/>
        <v>990.218550612368</v>
      </c>
    </row>
    <row r="29" spans="7:22">
      <c r="G29">
        <f t="shared" si="0"/>
        <v>25</v>
      </c>
      <c r="H29">
        <f>H28+B$4*H28*(1-H28/B$5)</f>
        <v>36.7386684383795</v>
      </c>
      <c r="I29">
        <f>I28+C$4*I28*(1-I28/C$5)</f>
        <v>26.7956449119166</v>
      </c>
      <c r="J29">
        <f>J28+D$4*J28*(1-J28/D$5)</f>
        <v>31.01259896021</v>
      </c>
      <c r="K29">
        <f>K28+E$4*K28*(1-K28/E$5)</f>
        <v>46.7053651050003</v>
      </c>
      <c r="M29">
        <f t="shared" si="1"/>
        <v>25</v>
      </c>
      <c r="N29">
        <f t="shared" si="2"/>
        <v>283.213547273868</v>
      </c>
      <c r="O29">
        <f t="shared" si="3"/>
        <v>76.5384303952267</v>
      </c>
      <c r="P29">
        <f t="shared" si="4"/>
        <v>166.379078066704</v>
      </c>
      <c r="Q29">
        <f t="shared" si="5"/>
        <v>3.31283698064962</v>
      </c>
      <c r="S29">
        <f t="shared" si="6"/>
        <v>484.077449381301</v>
      </c>
      <c r="T29">
        <f t="shared" si="7"/>
        <v>859.350194771714</v>
      </c>
      <c r="U29">
        <f t="shared" si="8"/>
        <v>705.277368306122</v>
      </c>
      <c r="V29">
        <f t="shared" si="9"/>
        <v>989.592539960005</v>
      </c>
    </row>
    <row r="30" spans="7:22">
      <c r="G30">
        <f t="shared" si="0"/>
        <v>26</v>
      </c>
      <c r="H30">
        <f>H29+B$4*H29*(1-H29/B$5)</f>
        <v>37.6383889026914</v>
      </c>
      <c r="I30">
        <f>I29+C$4*I29*(1-I29/C$5)</f>
        <v>27.1100125849971</v>
      </c>
      <c r="J30">
        <f>J29+D$4*J29*(1-J29/D$5)</f>
        <v>31.5592843659626</v>
      </c>
      <c r="K30">
        <f>K29+E$4*K29*(1-K29/E$5)</f>
        <v>48.3053489338863</v>
      </c>
      <c r="M30">
        <f t="shared" si="1"/>
        <v>26</v>
      </c>
      <c r="N30">
        <f t="shared" si="2"/>
        <v>302.425296400341</v>
      </c>
      <c r="O30">
        <f t="shared" si="3"/>
        <v>88.0783261096234</v>
      </c>
      <c r="P30">
        <f t="shared" si="4"/>
        <v>188.359575684732</v>
      </c>
      <c r="Q30">
        <f t="shared" si="5"/>
        <v>3.47158318598308</v>
      </c>
      <c r="S30">
        <f t="shared" si="6"/>
        <v>422.383668163747</v>
      </c>
      <c r="T30">
        <f t="shared" si="7"/>
        <v>836.329534498033</v>
      </c>
      <c r="U30">
        <f t="shared" si="8"/>
        <v>658.340008978088</v>
      </c>
      <c r="V30">
        <f t="shared" si="9"/>
        <v>988.936868207574</v>
      </c>
    </row>
    <row r="31" spans="7:22">
      <c r="G31">
        <f t="shared" si="0"/>
        <v>27</v>
      </c>
      <c r="H31">
        <f>H30+B$4*H30*(1-H30/B$5)</f>
        <v>38.5596729541588</v>
      </c>
      <c r="I31">
        <f>I30+C$4*I30*(1-I30/C$5)</f>
        <v>27.4279832081935</v>
      </c>
      <c r="J31">
        <f>J30+D$4*J30*(1-J30/D$5)</f>
        <v>32.1153996233936</v>
      </c>
      <c r="K31">
        <f>K30+E$4*K30*(1-K30/E$5)</f>
        <v>49.9589137666874</v>
      </c>
      <c r="M31">
        <f t="shared" si="1"/>
        <v>27</v>
      </c>
      <c r="N31">
        <f t="shared" si="2"/>
        <v>314.544279657878</v>
      </c>
      <c r="O31">
        <f t="shared" si="3"/>
        <v>100.648454109299</v>
      </c>
      <c r="P31">
        <f t="shared" si="4"/>
        <v>209.70749723098</v>
      </c>
      <c r="Q31">
        <f t="shared" si="5"/>
        <v>3.63748102881925</v>
      </c>
      <c r="S31">
        <f t="shared" si="6"/>
        <v>364.900890446159</v>
      </c>
      <c r="T31">
        <f t="shared" si="7"/>
        <v>810.547657581914</v>
      </c>
      <c r="U31">
        <f t="shared" si="8"/>
        <v>608.73815107913</v>
      </c>
      <c r="V31">
        <f t="shared" si="9"/>
        <v>988.250232886841</v>
      </c>
    </row>
    <row r="32" spans="7:22">
      <c r="G32">
        <f t="shared" si="0"/>
        <v>28</v>
      </c>
      <c r="H32">
        <f>H31+B$4*H31*(1-H31/B$5)</f>
        <v>39.5030141060915</v>
      </c>
      <c r="I32">
        <f>I31+C$4*I31*(1-I31/C$5)</f>
        <v>27.7495960640631</v>
      </c>
      <c r="J32">
        <f>J31+D$4*J31*(1-J31/D$5)</f>
        <v>32.6811000298991</v>
      </c>
      <c r="K32">
        <f>K31+E$4*K31*(1-K31/E$5)</f>
        <v>51.6677683588551</v>
      </c>
      <c r="M32">
        <f t="shared" si="1"/>
        <v>28</v>
      </c>
      <c r="N32">
        <f t="shared" si="2"/>
        <v>319.012507188554</v>
      </c>
      <c r="O32">
        <f t="shared" si="3"/>
        <v>114.104315044041</v>
      </c>
      <c r="P32">
        <f t="shared" si="4"/>
        <v>229.314154299061</v>
      </c>
      <c r="Q32">
        <f t="shared" si="5"/>
        <v>3.81080716926678</v>
      </c>
      <c r="S32">
        <f t="shared" si="6"/>
        <v>313.251020966802</v>
      </c>
      <c r="T32">
        <f t="shared" si="7"/>
        <v>781.994528530777</v>
      </c>
      <c r="U32">
        <f t="shared" si="8"/>
        <v>557.675369426403</v>
      </c>
      <c r="V32">
        <f t="shared" si="9"/>
        <v>987.53128459207</v>
      </c>
    </row>
    <row r="33" spans="7:22">
      <c r="G33">
        <f t="shared" si="0"/>
        <v>29</v>
      </c>
      <c r="H33">
        <f>H32+B$4*H32*(1-H32/B$5)</f>
        <v>40.4689160125845</v>
      </c>
      <c r="I33">
        <f>I32+C$4*I32*(1-I32/C$5)</f>
        <v>28.0748908160147</v>
      </c>
      <c r="J33">
        <f>J32+D$4*J32*(1-J32/D$5)</f>
        <v>33.2565431788473</v>
      </c>
      <c r="K33">
        <f>K32+E$4*K32*(1-K32/E$5)</f>
        <v>53.4336700059371</v>
      </c>
      <c r="M33">
        <f t="shared" si="1"/>
        <v>29</v>
      </c>
      <c r="N33">
        <f t="shared" si="2"/>
        <v>316.129578220368</v>
      </c>
      <c r="O33">
        <f t="shared" si="3"/>
        <v>128.218800303602</v>
      </c>
      <c r="P33">
        <f t="shared" si="4"/>
        <v>246.070173439574</v>
      </c>
      <c r="Q33">
        <f t="shared" si="5"/>
        <v>3.9918443537165</v>
      </c>
      <c r="S33">
        <f t="shared" si="6"/>
        <v>268.282073856704</v>
      </c>
      <c r="T33">
        <f t="shared" si="7"/>
        <v>750.76439601461</v>
      </c>
      <c r="U33">
        <f t="shared" si="8"/>
        <v>506.52222714103</v>
      </c>
      <c r="V33">
        <f t="shared" si="9"/>
        <v>986.77862633223</v>
      </c>
    </row>
    <row r="34" spans="7:22">
      <c r="G34">
        <f t="shared" si="0"/>
        <v>30</v>
      </c>
      <c r="H34">
        <f>H33+B$4*H33*(1-H33/B$5)</f>
        <v>41.4578926189654</v>
      </c>
      <c r="I34">
        <f>I33+C$4*I33*(1-I33/C$5)</f>
        <v>28.4039075108636</v>
      </c>
      <c r="J34">
        <f>J33+D$4*J33*(1-J33/D$5)</f>
        <v>33.8418889840961</v>
      </c>
      <c r="K34">
        <f>K33+E$4*K33*(1-K33/E$5)</f>
        <v>55.2584255024355</v>
      </c>
      <c r="M34">
        <f t="shared" si="1"/>
        <v>30</v>
      </c>
      <c r="N34">
        <f t="shared" si="2"/>
        <v>306.875495970895</v>
      </c>
      <c r="O34">
        <f t="shared" si="3"/>
        <v>142.67771881674</v>
      </c>
      <c r="P34">
        <f t="shared" si="4"/>
        <v>259.015652337075</v>
      </c>
      <c r="Q34">
        <f t="shared" si="5"/>
        <v>4.18088103823751</v>
      </c>
      <c r="S34">
        <f t="shared" si="6"/>
        <v>230.116719373122</v>
      </c>
      <c r="T34">
        <f t="shared" si="7"/>
        <v>717.072657455932</v>
      </c>
      <c r="U34">
        <f t="shared" si="8"/>
        <v>456.666222227593</v>
      </c>
      <c r="V34">
        <f t="shared" si="9"/>
        <v>985.990812994652</v>
      </c>
    </row>
    <row r="35" spans="7:22">
      <c r="G35">
        <f t="shared" si="0"/>
        <v>31</v>
      </c>
      <c r="H35">
        <f>H34+B$4*H34*(1-H34/B$5)</f>
        <v>42.4704683113783</v>
      </c>
      <c r="I35">
        <f>I34+C$4*I34*(1-I34/C$5)</f>
        <v>28.7366865813751</v>
      </c>
      <c r="J35">
        <f>J34+D$4*J34*(1-J34/D$5)</f>
        <v>34.4372997044097</v>
      </c>
      <c r="K35">
        <f>K34+E$4*K34*(1-K34/E$5)</f>
        <v>57.1438920879229</v>
      </c>
      <c r="M35">
        <f t="shared" si="1"/>
        <v>31</v>
      </c>
      <c r="N35">
        <f t="shared" si="2"/>
        <v>292.621903650231</v>
      </c>
      <c r="O35">
        <f t="shared" si="3"/>
        <v>157.084662841314</v>
      </c>
      <c r="P35">
        <f t="shared" si="4"/>
        <v>267.476784266749</v>
      </c>
      <c r="Q35">
        <f t="shared" si="5"/>
        <v>4.37821094128703</v>
      </c>
      <c r="S35">
        <f t="shared" si="6"/>
        <v>198.338987298152</v>
      </c>
      <c r="T35">
        <f t="shared" si="7"/>
        <v>681.264055608847</v>
      </c>
      <c r="U35">
        <f t="shared" si="8"/>
        <v>409.352742447358</v>
      </c>
      <c r="V35">
        <f t="shared" si="9"/>
        <v>985.166350935867</v>
      </c>
    </row>
    <row r="36" spans="7:22">
      <c r="G36">
        <f t="shared" si="0"/>
        <v>32</v>
      </c>
      <c r="H36">
        <f>H35+B$4*H35*(1-H35/B$5)</f>
        <v>43.5071780652935</v>
      </c>
      <c r="I36">
        <f>I35+C$4*I35*(1-I35/C$5)</f>
        <v>29.0732688487948</v>
      </c>
      <c r="J36">
        <f>J35+D$4*J35*(1-J35/D$5)</f>
        <v>35.0429399677579</v>
      </c>
      <c r="K36">
        <f>K35+E$4*K35*(1-K35/E$5)</f>
        <v>59.0919783773168</v>
      </c>
      <c r="M36">
        <f t="shared" si="1"/>
        <v>32</v>
      </c>
      <c r="N36">
        <f t="shared" si="2"/>
        <v>274.845867516756</v>
      </c>
      <c r="O36">
        <f t="shared" si="3"/>
        <v>170.977610483544</v>
      </c>
      <c r="P36">
        <f t="shared" si="4"/>
        <v>271.152208698975</v>
      </c>
      <c r="Q36">
        <f t="shared" si="5"/>
        <v>4.58413251942503</v>
      </c>
      <c r="S36">
        <f t="shared" si="6"/>
        <v>172.221737884092</v>
      </c>
      <c r="T36">
        <f t="shared" si="7"/>
        <v>643.80840854042</v>
      </c>
      <c r="U36">
        <f t="shared" si="8"/>
        <v>365.55580037512</v>
      </c>
      <c r="V36">
        <f t="shared" si="9"/>
        <v>984.303697716536</v>
      </c>
    </row>
    <row r="37" spans="7:22">
      <c r="G37">
        <f t="shared" si="0"/>
        <v>33</v>
      </c>
      <c r="H37">
        <f>H36+B$4*H36*(1-H36/B$5)</f>
        <v>44.5685675927146</v>
      </c>
      <c r="I37">
        <f>I36+C$4*I36*(1-I36/C$5)</f>
        <v>29.4136955253648</v>
      </c>
      <c r="J37">
        <f>J36+D$4*J36*(1-J36/D$5)</f>
        <v>35.6589767954785</v>
      </c>
      <c r="K37">
        <f>K36+E$4*K36*(1-K36/E$5)</f>
        <v>61.1046452719778</v>
      </c>
      <c r="M37">
        <f t="shared" si="1"/>
        <v>33</v>
      </c>
      <c r="N37">
        <f t="shared" si="2"/>
        <v>254.919482218541</v>
      </c>
      <c r="O37">
        <f t="shared" si="3"/>
        <v>183.857857066521</v>
      </c>
      <c r="P37">
        <f t="shared" si="4"/>
        <v>270.127882463902</v>
      </c>
      <c r="Q37">
        <f t="shared" si="5"/>
        <v>4.79894835944981</v>
      </c>
      <c r="S37">
        <f t="shared" si="6"/>
        <v>150.921243054794</v>
      </c>
      <c r="T37">
        <f t="shared" si="7"/>
        <v>605.281520384911</v>
      </c>
      <c r="U37">
        <f t="shared" si="8"/>
        <v>325.907295305346</v>
      </c>
      <c r="V37">
        <f t="shared" si="9"/>
        <v>983.401261998597</v>
      </c>
    </row>
    <row r="38" spans="7:22">
      <c r="G38">
        <f t="shared" si="0"/>
        <v>34</v>
      </c>
      <c r="H38">
        <f>H37+B$4*H37*(1-H37/B$5)</f>
        <v>45.6551934878482</v>
      </c>
      <c r="I38">
        <f>I37+C$4*I37*(1-I37/C$5)</f>
        <v>29.7580082168246</v>
      </c>
      <c r="J38">
        <f>J37+D$4*J37*(1-J37/D$5)</f>
        <v>36.2855796262839</v>
      </c>
      <c r="K38">
        <f>K37+E$4*K37*(1-K37/E$5)</f>
        <v>63.18390684805</v>
      </c>
      <c r="M38">
        <f t="shared" si="1"/>
        <v>34</v>
      </c>
      <c r="N38">
        <f t="shared" si="2"/>
        <v>233.994304196648</v>
      </c>
      <c r="O38">
        <f t="shared" si="3"/>
        <v>195.229195647521</v>
      </c>
      <c r="P38">
        <f t="shared" si="4"/>
        <v>264.823359118465</v>
      </c>
      <c r="Q38">
        <f t="shared" si="5"/>
        <v>5.02296448012214</v>
      </c>
      <c r="S38">
        <f t="shared" si="6"/>
        <v>133.608498743906</v>
      </c>
      <c r="T38">
        <f t="shared" si="7"/>
        <v>566.331503243933</v>
      </c>
      <c r="U38">
        <f t="shared" si="8"/>
        <v>290.692636281198</v>
      </c>
      <c r="V38">
        <f t="shared" si="9"/>
        <v>982.457403624007</v>
      </c>
    </row>
    <row r="39" spans="7:22">
      <c r="G39">
        <f t="shared" si="0"/>
        <v>35</v>
      </c>
      <c r="H39">
        <f>H38+B$4*H38*(1-H38/B$5)</f>
        <v>46.7676233709832</v>
      </c>
      <c r="I39">
        <f>I38+C$4*I38*(1-I38/C$5)</f>
        <v>30.1062489248962</v>
      </c>
      <c r="J39">
        <f>J38+D$4*J38*(1-J38/D$5)</f>
        <v>36.9229203400912</v>
      </c>
      <c r="K39">
        <f>K38+E$4*K38*(1-K38/E$5)</f>
        <v>65.3318312182043</v>
      </c>
      <c r="M39">
        <f t="shared" si="1"/>
        <v>35</v>
      </c>
      <c r="N39">
        <f t="shared" si="2"/>
        <v>212.963791031403</v>
      </c>
      <c r="O39">
        <f t="shared" si="3"/>
        <v>204.64237164725</v>
      </c>
      <c r="P39">
        <f t="shared" si="4"/>
        <v>255.892735415091</v>
      </c>
      <c r="Q39">
        <f t="shared" si="5"/>
        <v>5.2564895364311</v>
      </c>
      <c r="S39">
        <f t="shared" si="6"/>
        <v>119.539866279653</v>
      </c>
      <c r="T39">
        <f t="shared" si="7"/>
        <v>527.633947897076</v>
      </c>
      <c r="U39">
        <f t="shared" si="8"/>
        <v>259.899756116802</v>
      </c>
      <c r="V39">
        <f t="shared" si="9"/>
        <v>981.47043389568</v>
      </c>
    </row>
    <row r="40" spans="7:22">
      <c r="G40">
        <f t="shared" si="0"/>
        <v>36</v>
      </c>
      <c r="H40">
        <f>H39+B$4*H39*(1-H39/B$5)</f>
        <v>47.9064360303165</v>
      </c>
      <c r="I40">
        <f>I39+C$4*I39*(1-I39/C$5)</f>
        <v>30.4584600497516</v>
      </c>
      <c r="J40">
        <f>J39+D$4*J39*(1-J39/D$5)</f>
        <v>37.5711732816556</v>
      </c>
      <c r="K40">
        <f>K39+E$4*K39*(1-K39/E$5)</f>
        <v>67.5505413626772</v>
      </c>
      <c r="M40">
        <f t="shared" si="1"/>
        <v>36</v>
      </c>
      <c r="N40">
        <f t="shared" si="2"/>
        <v>192.475170772729</v>
      </c>
      <c r="O40">
        <f t="shared" si="3"/>
        <v>211.737707760903</v>
      </c>
      <c r="P40">
        <f t="shared" si="4"/>
        <v>244.111408913405</v>
      </c>
      <c r="Q40">
        <f t="shared" si="5"/>
        <v>5.49983391918427</v>
      </c>
      <c r="S40">
        <f t="shared" si="6"/>
        <v>108.083917883617</v>
      </c>
      <c r="T40">
        <f t="shared" si="7"/>
        <v>489.842256036335</v>
      </c>
      <c r="U40">
        <f t="shared" si="8"/>
        <v>233.297172306225</v>
      </c>
      <c r="V40">
        <f t="shared" si="9"/>
        <v>980.438616082462</v>
      </c>
    </row>
    <row r="41" spans="7:22">
      <c r="G41">
        <f t="shared" si="0"/>
        <v>37</v>
      </c>
      <c r="H41">
        <f>H40+B$4*H40*(1-H40/B$5)</f>
        <v>49.0722215614476</v>
      </c>
      <c r="I41">
        <f>I40+C$4*I40*(1-I40/C$5)</f>
        <v>30.8146843924626</v>
      </c>
      <c r="J41">
        <f>J40+D$4*J40*(1-J40/D$5)</f>
        <v>38.2305152839843</v>
      </c>
      <c r="K41">
        <f>K40+E$4*K40*(1-K40/E$5)</f>
        <v>69.8422159252147</v>
      </c>
      <c r="M41">
        <f t="shared" si="1"/>
        <v>37</v>
      </c>
      <c r="N41">
        <f t="shared" si="2"/>
        <v>172.965456905415</v>
      </c>
      <c r="O41">
        <f t="shared" si="3"/>
        <v>216.278378356915</v>
      </c>
      <c r="P41">
        <f t="shared" si="4"/>
        <v>230.274898147269</v>
      </c>
      <c r="Q41">
        <f t="shared" si="5"/>
        <v>5.75330874258831</v>
      </c>
      <c r="S41">
        <f t="shared" si="6"/>
        <v>98.7223561350216</v>
      </c>
      <c r="T41">
        <f t="shared" si="7"/>
        <v>453.540929276188</v>
      </c>
      <c r="U41">
        <f t="shared" si="8"/>
        <v>210.51697173535</v>
      </c>
      <c r="V41">
        <f t="shared" si="9"/>
        <v>979.360166171181</v>
      </c>
    </row>
    <row r="42" spans="7:22">
      <c r="G42">
        <f t="shared" si="0"/>
        <v>38</v>
      </c>
      <c r="H42">
        <f>H41+B$4*H41*(1-H41/B$5)</f>
        <v>50.265581504248</v>
      </c>
      <c r="I42">
        <f>I41+C$4*I41*(1-I41/C$5)</f>
        <v>31.1749651574301</v>
      </c>
      <c r="J42">
        <f>J41+D$4*J41*(1-J41/D$5)</f>
        <v>38.9011256915094</v>
      </c>
      <c r="K42">
        <f>K41+E$4*K41*(1-K41/E$5)</f>
        <v>72.2090899692395</v>
      </c>
      <c r="M42">
        <f t="shared" si="1"/>
        <v>38</v>
      </c>
      <c r="N42">
        <f t="shared" si="2"/>
        <v>154.704639215656</v>
      </c>
      <c r="O42">
        <f t="shared" si="3"/>
        <v>218.168505449197</v>
      </c>
      <c r="P42">
        <f t="shared" si="4"/>
        <v>215.12437311503</v>
      </c>
      <c r="Q42">
        <f t="shared" si="5"/>
        <v>6.01722471243514</v>
      </c>
      <c r="S42">
        <f t="shared" si="6"/>
        <v>91.0383552889687</v>
      </c>
      <c r="T42">
        <f t="shared" si="7"/>
        <v>419.209045430368</v>
      </c>
      <c r="U42">
        <f t="shared" si="8"/>
        <v>191.126262045499</v>
      </c>
      <c r="V42">
        <f t="shared" si="9"/>
        <v>978.233253889946</v>
      </c>
    </row>
    <row r="43" spans="7:22">
      <c r="G43">
        <f t="shared" si="0"/>
        <v>39</v>
      </c>
      <c r="H43">
        <f>H42+B$4*H42*(1-H42/B$5)</f>
        <v>51.4871289767992</v>
      </c>
      <c r="I43">
        <f>I42+C$4*I42*(1-I42/C$5)</f>
        <v>31.5393459547936</v>
      </c>
      <c r="J43">
        <f>J42+D$4*J42*(1-J42/D$5)</f>
        <v>39.5831863829958</v>
      </c>
      <c r="K43">
        <f>K42+E$4*K42*(1-K42/E$5)</f>
        <v>74.6534556892553</v>
      </c>
      <c r="M43">
        <f t="shared" si="1"/>
        <v>39</v>
      </c>
      <c r="N43">
        <f t="shared" si="2"/>
        <v>137.836768492702</v>
      </c>
      <c r="O43">
        <f t="shared" si="3"/>
        <v>217.453603451133</v>
      </c>
      <c r="P43">
        <f t="shared" si="4"/>
        <v>199.302084071118</v>
      </c>
      <c r="Q43">
        <f t="shared" si="5"/>
        <v>6.29189086753635</v>
      </c>
      <c r="S43">
        <f t="shared" si="6"/>
        <v>84.7005301295737</v>
      </c>
      <c r="T43">
        <f t="shared" si="7"/>
        <v>387.198671611053</v>
      </c>
      <c r="U43">
        <f t="shared" si="8"/>
        <v>174.679895122156</v>
      </c>
      <c r="V43">
        <f t="shared" si="9"/>
        <v>977.056004027979</v>
      </c>
    </row>
    <row r="44" spans="7:22">
      <c r="G44">
        <f t="shared" si="0"/>
        <v>40</v>
      </c>
      <c r="H44">
        <f>H43+B$4*H43*(1-H43/B$5)</f>
        <v>52.7374888060765</v>
      </c>
      <c r="I44">
        <f>I43+C$4*I43*(1-I43/C$5)</f>
        <v>31.9078708028186</v>
      </c>
      <c r="J44">
        <f>J43+D$4*J43*(1-J43/D$5)</f>
        <v>40.276881794159</v>
      </c>
      <c r="K44">
        <f>K43+E$4*K43*(1-K43/E$5)</f>
        <v>77.1776630721874</v>
      </c>
      <c r="M44">
        <f t="shared" si="1"/>
        <v>40</v>
      </c>
      <c r="N44">
        <f t="shared" si="2"/>
        <v>122.414934532003</v>
      </c>
      <c r="O44">
        <f t="shared" si="3"/>
        <v>214.304774171123</v>
      </c>
      <c r="P44">
        <f t="shared" si="4"/>
        <v>183.332398317719</v>
      </c>
      <c r="Q44">
        <f t="shared" si="5"/>
        <v>6.57761318716894</v>
      </c>
      <c r="S44">
        <f t="shared" si="6"/>
        <v>79.4468488163681</v>
      </c>
      <c r="T44">
        <f t="shared" si="7"/>
        <v>357.729460373393</v>
      </c>
      <c r="U44">
        <f t="shared" si="8"/>
        <v>160.754268264888</v>
      </c>
      <c r="V44">
        <f t="shared" si="9"/>
        <v>975.826498078216</v>
      </c>
    </row>
    <row r="45" spans="7:22">
      <c r="G45">
        <f t="shared" si="0"/>
        <v>41</v>
      </c>
      <c r="H45">
        <f>H44+B$4*H44*(1-H44/B$5)</f>
        <v>54.01729765504</v>
      </c>
      <c r="I45">
        <f>I44+C$4*I44*(1-I44/C$5)</f>
        <v>32.2805841302607</v>
      </c>
      <c r="J45">
        <f>J44+D$4*J44*(1-J44/D$5)</f>
        <v>40.9823989399691</v>
      </c>
      <c r="K45">
        <f>K44+E$4*K44*(1-K44/E$5)</f>
        <v>79.7841205030299</v>
      </c>
      <c r="M45">
        <f t="shared" si="1"/>
        <v>41</v>
      </c>
      <c r="N45">
        <f t="shared" si="2"/>
        <v>108.429160710685</v>
      </c>
      <c r="O45">
        <f t="shared" si="3"/>
        <v>208.991153972342</v>
      </c>
      <c r="P45">
        <f t="shared" si="4"/>
        <v>167.621124786386</v>
      </c>
      <c r="Q45">
        <f t="shared" si="5"/>
        <v>6.87469305752323</v>
      </c>
      <c r="S45">
        <f t="shared" si="6"/>
        <v>75.0703824578847</v>
      </c>
      <c r="T45">
        <f t="shared" si="7"/>
        <v>330.897364446506</v>
      </c>
      <c r="U45">
        <f t="shared" si="8"/>
        <v>148.965682048563</v>
      </c>
      <c r="V45">
        <f t="shared" si="9"/>
        <v>974.542776229786</v>
      </c>
    </row>
    <row r="46" spans="7:22">
      <c r="G46">
        <f t="shared" si="0"/>
        <v>42</v>
      </c>
      <c r="H46">
        <f>H45+B$4*H45*(1-H45/B$5)</f>
        <v>55.3272041457777</v>
      </c>
      <c r="I46">
        <f>I45+C$4*I45*(1-I45/C$5)</f>
        <v>32.6575307787059</v>
      </c>
      <c r="J46">
        <f>J45+D$4*J45*(1-J45/D$5)</f>
        <v>41.699927436614</v>
      </c>
      <c r="K46">
        <f>K45+E$4*K45*(1-K45/E$5)</f>
        <v>82.475295308838</v>
      </c>
      <c r="M46">
        <f t="shared" si="1"/>
        <v>42</v>
      </c>
      <c r="N46">
        <f t="shared" si="2"/>
        <v>95.827704957945</v>
      </c>
      <c r="O46">
        <f t="shared" si="3"/>
        <v>201.846598591219</v>
      </c>
      <c r="P46">
        <f t="shared" si="4"/>
        <v>152.465874140248</v>
      </c>
      <c r="Q46">
        <f t="shared" si="5"/>
        <v>7.18342559049601</v>
      </c>
      <c r="S46">
        <f t="shared" si="6"/>
        <v>71.4074641040224</v>
      </c>
      <c r="T46">
        <f t="shared" si="7"/>
        <v>306.693246731777</v>
      </c>
      <c r="U46">
        <f t="shared" si="8"/>
        <v>138.977763976743</v>
      </c>
      <c r="V46">
        <f t="shared" si="9"/>
        <v>973.202839738185</v>
      </c>
    </row>
    <row r="47" spans="7:22">
      <c r="G47">
        <f t="shared" si="0"/>
        <v>43</v>
      </c>
      <c r="H47">
        <f>H46+B$4*H46*(1-H46/B$5)</f>
        <v>56.6678689783307</v>
      </c>
      <c r="I47">
        <f>I46+C$4*I46*(1-I46/C$5)</f>
        <v>33.0387560048848</v>
      </c>
      <c r="J47">
        <f>J46+D$4*J46*(1-J46/D$5)</f>
        <v>42.4296595230945</v>
      </c>
      <c r="K47">
        <f>K46+E$4*K46*(1-K46/E$5)</f>
        <v>85.253714234752</v>
      </c>
      <c r="M47">
        <f t="shared" si="1"/>
        <v>43</v>
      </c>
      <c r="N47">
        <f t="shared" si="2"/>
        <v>84.5328152451332</v>
      </c>
      <c r="O47">
        <f t="shared" si="3"/>
        <v>193.236354834834</v>
      </c>
      <c r="P47">
        <f t="shared" si="4"/>
        <v>138.071739527519</v>
      </c>
      <c r="Q47">
        <f t="shared" si="5"/>
        <v>7.50409778866534</v>
      </c>
      <c r="S47">
        <f t="shared" si="6"/>
        <v>68.3281980731425</v>
      </c>
      <c r="T47">
        <f t="shared" si="7"/>
        <v>285.02650069948</v>
      </c>
      <c r="U47">
        <f t="shared" si="8"/>
        <v>130.502017468434</v>
      </c>
      <c r="V47">
        <f t="shared" si="9"/>
        <v>971.804653701441</v>
      </c>
    </row>
    <row r="48" spans="7:22">
      <c r="G48">
        <f t="shared" si="0"/>
        <v>44</v>
      </c>
      <c r="H48">
        <f>H47+B$4*H47*(1-H47/B$5)</f>
        <v>58.0399650448091</v>
      </c>
      <c r="I48">
        <f>I47+C$4*I47*(1-I47/C$5)</f>
        <v>33.4243054829599</v>
      </c>
      <c r="J48">
        <f>J47+D$4*J47*(1-J47/D$5)</f>
        <v>43.1717900824232</v>
      </c>
      <c r="K48">
        <f>K47+E$4*K47*(1-K47/E$5)</f>
        <v>88.121963845387</v>
      </c>
      <c r="M48">
        <f t="shared" si="1"/>
        <v>44</v>
      </c>
      <c r="N48">
        <f t="shared" si="2"/>
        <v>74.4520816830506</v>
      </c>
      <c r="O48">
        <f t="shared" si="3"/>
        <v>183.528020318882</v>
      </c>
      <c r="P48">
        <f t="shared" si="4"/>
        <v>124.568434823878</v>
      </c>
      <c r="Q48">
        <f t="shared" si="5"/>
        <v>7.83698655093668</v>
      </c>
      <c r="S48">
        <f t="shared" si="6"/>
        <v>65.729009348455</v>
      </c>
      <c r="T48">
        <f t="shared" si="7"/>
        <v>265.749381990206</v>
      </c>
      <c r="U48">
        <f t="shared" si="8"/>
        <v>123.294561242947</v>
      </c>
      <c r="V48">
        <f t="shared" si="9"/>
        <v>970.34615027087</v>
      </c>
    </row>
    <row r="49" spans="7:22">
      <c r="G49">
        <f t="shared" si="0"/>
        <v>45</v>
      </c>
      <c r="H49">
        <f>H48+B$4*H48*(1-H48/B$5)</f>
        <v>59.444177538396</v>
      </c>
      <c r="I49">
        <f>I48+C$4*I48*(1-I48/C$5)</f>
        <v>33.8142253067852</v>
      </c>
      <c r="J49">
        <f>J48+D$4*J48*(1-J48/D$5)</f>
        <v>43.9265166623998</v>
      </c>
      <c r="K49">
        <f>K48+E$4*K48*(1-K48/E$5)</f>
        <v>91.0826908445579</v>
      </c>
      <c r="M49">
        <f t="shared" si="1"/>
        <v>45</v>
      </c>
      <c r="N49">
        <f t="shared" si="2"/>
        <v>65.4864171384237</v>
      </c>
      <c r="O49">
        <f t="shared" si="3"/>
        <v>173.06917756322</v>
      </c>
      <c r="P49">
        <f t="shared" si="4"/>
        <v>112.026613806829</v>
      </c>
      <c r="Q49">
        <f t="shared" si="5"/>
        <v>8.18235651418137</v>
      </c>
      <c r="S49">
        <f t="shared" si="6"/>
        <v>63.5268616406243</v>
      </c>
      <c r="T49">
        <f t="shared" si="7"/>
        <v>248.679021698036</v>
      </c>
      <c r="U49">
        <f t="shared" si="8"/>
        <v>117.151117036415</v>
      </c>
      <c r="V49">
        <f t="shared" si="9"/>
        <v>968.825232324985</v>
      </c>
    </row>
    <row r="50" spans="7:22">
      <c r="G50">
        <f t="shared" si="0"/>
        <v>46</v>
      </c>
      <c r="H50">
        <f>H49+B$4*H49*(1-H49/B$5)</f>
        <v>60.8812040568112</v>
      </c>
      <c r="I50">
        <f>I49+C$4*I49*(1-I49/C$5)</f>
        <v>34.2085619921356</v>
      </c>
      <c r="J50">
        <f>J49+D$4*J49*(1-J49/D$5)</f>
        <v>44.6940394959299</v>
      </c>
      <c r="K50">
        <f>K49+E$4*K49*(1-K49/E$5)</f>
        <v>94.1386023059347</v>
      </c>
      <c r="M50">
        <f t="shared" si="1"/>
        <v>46</v>
      </c>
      <c r="N50">
        <f t="shared" si="2"/>
        <v>57.535520520062</v>
      </c>
      <c r="O50">
        <f t="shared" si="3"/>
        <v>162.172336745614</v>
      </c>
      <c r="P50">
        <f t="shared" si="4"/>
        <v>100.472238913915</v>
      </c>
      <c r="Q50">
        <f t="shared" si="5"/>
        <v>8.54045772721769</v>
      </c>
      <c r="S50">
        <f t="shared" si="6"/>
        <v>61.6547956882225</v>
      </c>
      <c r="T50">
        <f t="shared" si="7"/>
        <v>233.615485881159</v>
      </c>
      <c r="U50">
        <f t="shared" si="8"/>
        <v>111.901499858304</v>
      </c>
      <c r="V50">
        <f t="shared" si="9"/>
        <v>967.239777634822</v>
      </c>
    </row>
    <row r="51" spans="7:22">
      <c r="G51">
        <f t="shared" si="0"/>
        <v>47</v>
      </c>
      <c r="H51">
        <f>H50+B$4*H50*(1-H50/B$5)</f>
        <v>62.3517546997953</v>
      </c>
      <c r="I51">
        <f>I50+C$4*I50*(1-I50/C$5)</f>
        <v>34.6073624789056</v>
      </c>
      <c r="J51">
        <f>J50+D$4*J50*(1-J50/D$5)</f>
        <v>45.474561520859</v>
      </c>
      <c r="K51">
        <f>K50+E$4*K50*(1-K50/E$5)</f>
        <v>97.2924658068497</v>
      </c>
      <c r="M51">
        <f t="shared" si="1"/>
        <v>47</v>
      </c>
      <c r="N51">
        <f t="shared" si="2"/>
        <v>50.5014957851687</v>
      </c>
      <c r="O51">
        <f t="shared" si="3"/>
        <v>151.10657546963</v>
      </c>
      <c r="P51">
        <f t="shared" si="4"/>
        <v>89.8986007682637</v>
      </c>
      <c r="Q51">
        <f t="shared" si="5"/>
        <v>8.91152315472976</v>
      </c>
      <c r="S51">
        <f t="shared" si="6"/>
        <v>60.0584923451066</v>
      </c>
      <c r="T51">
        <f t="shared" si="7"/>
        <v>220.355396645301</v>
      </c>
      <c r="U51">
        <f t="shared" si="8"/>
        <v>107.404302166868</v>
      </c>
      <c r="V51">
        <f t="shared" si="9"/>
        <v>965.587643548227</v>
      </c>
    </row>
    <row r="52" spans="7:22">
      <c r="G52">
        <f t="shared" si="0"/>
        <v>48</v>
      </c>
      <c r="H52">
        <f>H51+B$4*H51*(1-H51/B$5)</f>
        <v>63.8565521601493</v>
      </c>
      <c r="I52">
        <f>I51+C$4*I51*(1-I51/C$5)</f>
        <v>35.010674133275</v>
      </c>
      <c r="J52">
        <f>J51+D$4*J51*(1-J51/D$5)</f>
        <v>46.2682883992883</v>
      </c>
      <c r="K52">
        <f>K51+E$4*K51*(1-K51/E$5)</f>
        <v>100.547109457091</v>
      </c>
      <c r="M52">
        <f t="shared" si="1"/>
        <v>48</v>
      </c>
      <c r="N52">
        <f t="shared" si="2"/>
        <v>44.2911410815068</v>
      </c>
      <c r="O52">
        <f t="shared" si="3"/>
        <v>140.094591429849</v>
      </c>
      <c r="P52">
        <f t="shared" si="4"/>
        <v>80.2760092455415</v>
      </c>
      <c r="Q52">
        <f t="shared" si="5"/>
        <v>9.2957660102005</v>
      </c>
      <c r="S52">
        <f t="shared" si="6"/>
        <v>58.6936226809931</v>
      </c>
      <c r="T52">
        <f t="shared" si="7"/>
        <v>208.701394364638</v>
      </c>
      <c r="U52">
        <f t="shared" si="8"/>
        <v>103.542103574351</v>
      </c>
      <c r="V52">
        <f t="shared" si="9"/>
        <v>963.866672219547</v>
      </c>
    </row>
    <row r="53" spans="7:22">
      <c r="G53">
        <f t="shared" si="0"/>
        <v>49</v>
      </c>
      <c r="H53">
        <f>H52+B$4*H52*(1-H52/B$5)</f>
        <v>65.3963318078505</v>
      </c>
      <c r="I53">
        <f>I52+C$4*I52*(1-I52/C$5)</f>
        <v>35.4185447498416</v>
      </c>
      <c r="J53">
        <f>J52+D$4*J52*(1-J52/D$5)</f>
        <v>47.0754285363387</v>
      </c>
      <c r="K53">
        <f>K52+E$4*K52*(1-K52/E$5)</f>
        <v>103.905421814132</v>
      </c>
      <c r="M53">
        <f t="shared" si="1"/>
        <v>49</v>
      </c>
      <c r="N53">
        <f t="shared" si="2"/>
        <v>38.8172933045177</v>
      </c>
      <c r="O53">
        <f t="shared" si="3"/>
        <v>129.313680516395</v>
      </c>
      <c r="P53">
        <f t="shared" si="4"/>
        <v>71.5593866042452</v>
      </c>
      <c r="Q53">
        <f t="shared" si="5"/>
        <v>9.69337691866713</v>
      </c>
      <c r="S53">
        <f t="shared" si="6"/>
        <v>57.5237992957562</v>
      </c>
      <c r="T53">
        <f t="shared" si="7"/>
        <v>198.468116563614</v>
      </c>
      <c r="U53">
        <f t="shared" si="8"/>
        <v>100.217324828816</v>
      </c>
      <c r="V53">
        <f t="shared" si="9"/>
        <v>962.07469640955</v>
      </c>
    </row>
    <row r="54" spans="7:22">
      <c r="G54">
        <f t="shared" si="0"/>
        <v>50</v>
      </c>
      <c r="H54">
        <f>H53+B$4*H53*(1-H53/B$5)</f>
        <v>66.9718417667423</v>
      </c>
      <c r="I54">
        <f>I53+C$4*I53*(1-I53/C$5)</f>
        <v>35.8310225537177</v>
      </c>
      <c r="J54">
        <f>J53+D$4*J53*(1-J53/D$5)</f>
        <v>47.8961930983303</v>
      </c>
      <c r="K54">
        <f>K53+E$4*K53*(1-K53/E$5)</f>
        <v>107.370351675861</v>
      </c>
      <c r="M54">
        <f t="shared" si="1"/>
        <v>50</v>
      </c>
      <c r="N54">
        <f t="shared" si="2"/>
        <v>33.9995124940041</v>
      </c>
      <c r="O54">
        <f t="shared" si="3"/>
        <v>118.899253355235</v>
      </c>
      <c r="P54">
        <f t="shared" si="4"/>
        <v>63.6940747303558</v>
      </c>
      <c r="Q54">
        <f t="shared" si="5"/>
        <v>10.1045209121091</v>
      </c>
      <c r="S54">
        <f t="shared" si="6"/>
        <v>56.5189861105921</v>
      </c>
      <c r="T54">
        <f t="shared" si="7"/>
        <v>189.485491647315</v>
      </c>
      <c r="U54">
        <f t="shared" si="8"/>
        <v>97.3487287120688</v>
      </c>
      <c r="V54">
        <f t="shared" si="9"/>
        <v>960.209545878308</v>
      </c>
    </row>
    <row r="55" spans="7:22">
      <c r="G55">
        <f t="shared" si="0"/>
        <v>51</v>
      </c>
      <c r="H55">
        <f>H54+B$4*H54*(1-H54/B$5)</f>
        <v>68.5838429832771</v>
      </c>
      <c r="I55">
        <f>I54+C$4*I54*(1-I54/C$5)</f>
        <v>36.2481562025899</v>
      </c>
      <c r="J55">
        <f>J54+D$4*J54*(1-J54/D$5)</f>
        <v>48.7307960303405</v>
      </c>
      <c r="K55">
        <f>K54+E$4*K54*(1-K54/E$5)</f>
        <v>110.944907741487</v>
      </c>
      <c r="M55">
        <f t="shared" si="1"/>
        <v>51</v>
      </c>
      <c r="N55">
        <f t="shared" si="2"/>
        <v>29.7643137083905</v>
      </c>
      <c r="O55">
        <f t="shared" si="3"/>
        <v>108.94975456943</v>
      </c>
      <c r="P55">
        <f t="shared" si="4"/>
        <v>56.6201784013991</v>
      </c>
      <c r="Q55">
        <f t="shared" si="5"/>
        <v>10.5293342625595</v>
      </c>
      <c r="S55">
        <f t="shared" si="6"/>
        <v>55.6542580221051</v>
      </c>
      <c r="T55">
        <f t="shared" si="7"/>
        <v>181.600102429834</v>
      </c>
      <c r="U55">
        <f t="shared" si="8"/>
        <v>94.8685138314721</v>
      </c>
      <c r="V55">
        <f t="shared" si="9"/>
        <v>958.269054391041</v>
      </c>
    </row>
    <row r="56" spans="7:22">
      <c r="G56">
        <f t="shared" si="0"/>
        <v>52</v>
      </c>
      <c r="H56">
        <f>H55+B$4*H55*(1-H55/B$5)</f>
        <v>70.2331092867708</v>
      </c>
      <c r="I56">
        <f>I55+C$4*I55*(1-I55/C$5)</f>
        <v>36.6699947887401</v>
      </c>
      <c r="J56">
        <f>J55+D$4*J55*(1-J55/D$5)</f>
        <v>49.5794540731056</v>
      </c>
      <c r="K56">
        <f>K55+E$4*K55*(1-K55/E$5)</f>
        <v>114.632158130902</v>
      </c>
      <c r="M56">
        <f t="shared" si="1"/>
        <v>52</v>
      </c>
      <c r="N56">
        <f t="shared" si="2"/>
        <v>26.0450965098719</v>
      </c>
      <c r="O56">
        <f t="shared" si="3"/>
        <v>99.5321416903455</v>
      </c>
      <c r="P56">
        <f t="shared" si="4"/>
        <v>50.2757405123147</v>
      </c>
      <c r="Q56">
        <f t="shared" si="5"/>
        <v>10.9679211606056</v>
      </c>
      <c r="S56">
        <f t="shared" si="6"/>
        <v>54.9088281643652</v>
      </c>
      <c r="T56">
        <f t="shared" si="7"/>
        <v>174.675252123505</v>
      </c>
      <c r="U56">
        <f t="shared" si="8"/>
        <v>92.7199249603467</v>
      </c>
      <c r="V56">
        <f t="shared" si="9"/>
        <v>956.251067353611</v>
      </c>
    </row>
    <row r="57" spans="7:22">
      <c r="G57">
        <f t="shared" si="0"/>
        <v>53</v>
      </c>
      <c r="H57">
        <f>H56+B$4*H56*(1-H56/B$5)</f>
        <v>71.9204274406055</v>
      </c>
      <c r="I57">
        <f>I56+C$4*I56*(1-I56/C$5)</f>
        <v>37.0965878410269</v>
      </c>
      <c r="J57">
        <f>J56+D$4*J56*(1-J56/D$5)</f>
        <v>50.4423867792272</v>
      </c>
      <c r="K57">
        <f>K56+E$4*K56*(1-K56/E$5)</f>
        <v>118.435229752428</v>
      </c>
      <c r="M57">
        <f t="shared" si="1"/>
        <v>53</v>
      </c>
      <c r="N57">
        <f t="shared" si="2"/>
        <v>22.7818796113443</v>
      </c>
      <c r="O57">
        <f t="shared" si="3"/>
        <v>90.6873511172474</v>
      </c>
      <c r="P57">
        <f t="shared" si="4"/>
        <v>44.5990045905185</v>
      </c>
      <c r="Q57">
        <f t="shared" si="5"/>
        <v>11.4203502498106</v>
      </c>
      <c r="S57">
        <f t="shared" si="6"/>
        <v>54.265280586412</v>
      </c>
      <c r="T57">
        <f t="shared" si="7"/>
        <v>168.590221443051</v>
      </c>
      <c r="U57">
        <f t="shared" si="8"/>
        <v>90.8552998052956</v>
      </c>
      <c r="V57">
        <f t="shared" si="9"/>
        <v>954.153450090315</v>
      </c>
    </row>
    <row r="58" spans="7:22">
      <c r="G58">
        <f t="shared" si="0"/>
        <v>54</v>
      </c>
      <c r="H58">
        <f>H57+B$4*H57*(1-H57/B$5)</f>
        <v>73.6465971837979</v>
      </c>
      <c r="I58">
        <f>I57+C$4*I57*(1-I57/C$5)</f>
        <v>37.5279853268248</v>
      </c>
      <c r="J58">
        <f>J57+D$4*J57*(1-J57/D$5)</f>
        <v>51.3198165286455</v>
      </c>
      <c r="K58">
        <f>K57+E$4*K57*(1-K57/E$5)</f>
        <v>122.357307508478</v>
      </c>
      <c r="M58">
        <f t="shared" si="1"/>
        <v>54</v>
      </c>
      <c r="N58">
        <f t="shared" si="2"/>
        <v>19.9209169598706</v>
      </c>
      <c r="O58">
        <f t="shared" si="3"/>
        <v>82.4353986620895</v>
      </c>
      <c r="P58">
        <f t="shared" si="4"/>
        <v>39.5299762751765</v>
      </c>
      <c r="Q58">
        <f t="shared" si="5"/>
        <v>11.8866510307584</v>
      </c>
      <c r="S58">
        <f t="shared" si="6"/>
        <v>53.708961296184</v>
      </c>
      <c r="T58">
        <f t="shared" si="7"/>
        <v>163.239071230622</v>
      </c>
      <c r="U58">
        <f t="shared" si="8"/>
        <v>89.2344774320599</v>
      </c>
      <c r="V58">
        <f t="shared" si="9"/>
        <v>951.974096771896</v>
      </c>
    </row>
    <row r="59" spans="7:22">
      <c r="G59">
        <f t="shared" si="0"/>
        <v>55</v>
      </c>
      <c r="H59">
        <f>H58+B$4*H58*(1-H58/B$5)</f>
        <v>75.4124312623268</v>
      </c>
      <c r="I59">
        <f>I58+C$4*I58*(1-I58/C$5)</f>
        <v>37.9642376539198</v>
      </c>
      <c r="J59">
        <f>J58+D$4*J58*(1-J58/D$5)</f>
        <v>52.2119685433387</v>
      </c>
      <c r="K59">
        <f>K58+E$4*K58*(1-K58/E$5)</f>
        <v>126.401633328308</v>
      </c>
      <c r="M59">
        <f t="shared" si="1"/>
        <v>55</v>
      </c>
      <c r="N59">
        <f t="shared" si="2"/>
        <v>17.414248706982</v>
      </c>
      <c r="O59">
        <f t="shared" si="3"/>
        <v>74.77992613272</v>
      </c>
      <c r="P59">
        <f t="shared" si="4"/>
        <v>35.0114545442269</v>
      </c>
      <c r="Q59">
        <f t="shared" si="5"/>
        <v>12.3668101518744</v>
      </c>
      <c r="S59">
        <f t="shared" si="6"/>
        <v>53.227492005092</v>
      </c>
      <c r="T59">
        <f t="shared" si="7"/>
        <v>158.529233960678</v>
      </c>
      <c r="U59">
        <f t="shared" si="8"/>
        <v>87.823502721733</v>
      </c>
      <c r="V59">
        <f t="shared" si="9"/>
        <v>949.710939996166</v>
      </c>
    </row>
    <row r="60" spans="7:22">
      <c r="G60">
        <f t="shared" si="0"/>
        <v>56</v>
      </c>
      <c r="H60">
        <f>H59+B$4*H59*(1-H59/B$5)</f>
        <v>77.2187554495948</v>
      </c>
      <c r="I60">
        <f>I59+C$4*I59*(1-I59/C$5)</f>
        <v>38.4053956723604</v>
      </c>
      <c r="J60">
        <f>J59+D$4*J59*(1-J59/D$5)</f>
        <v>53.1190709012088</v>
      </c>
      <c r="K60">
        <f>K59+E$4*K59*(1-K59/E$5)</f>
        <v>130.571505016716</v>
      </c>
      <c r="M60">
        <f t="shared" si="1"/>
        <v>56</v>
      </c>
      <c r="N60">
        <f t="shared" si="2"/>
        <v>15.2192239536562</v>
      </c>
      <c r="O60">
        <f t="shared" si="3"/>
        <v>67.7121187547216</v>
      </c>
      <c r="P60">
        <f t="shared" si="4"/>
        <v>30.9896677919755</v>
      </c>
      <c r="Q60">
        <f t="shared" si="5"/>
        <v>12.8607676079114</v>
      </c>
      <c r="S60">
        <f t="shared" si="6"/>
        <v>52.8103794523705</v>
      </c>
      <c r="T60">
        <f t="shared" si="7"/>
        <v>154.380052418768</v>
      </c>
      <c r="U60">
        <f t="shared" si="8"/>
        <v>86.5935712923503</v>
      </c>
      <c r="V60">
        <f t="shared" si="9"/>
        <v>947.361961017348</v>
      </c>
    </row>
    <row r="61" spans="7:22">
      <c r="G61">
        <f t="shared" si="0"/>
        <v>57</v>
      </c>
      <c r="H61">
        <f>H60+B$4*H60*(1-H60/B$5)</f>
        <v>79.0664085553737</v>
      </c>
      <c r="I61">
        <f>I60+C$4*I60*(1-I60/C$5)</f>
        <v>38.8515106762612</v>
      </c>
      <c r="J61">
        <f>J60+D$4*J60*(1-J60/D$5)</f>
        <v>54.0413545491096</v>
      </c>
      <c r="K61">
        <f>K60+E$4*K60*(1-K60/E$5)</f>
        <v>134.870274907173</v>
      </c>
      <c r="M61">
        <f t="shared" si="1"/>
        <v>57</v>
      </c>
      <c r="N61">
        <f t="shared" si="2"/>
        <v>13.2980202069912</v>
      </c>
      <c r="O61">
        <f t="shared" si="3"/>
        <v>61.2139910964723</v>
      </c>
      <c r="P61">
        <f t="shared" si="4"/>
        <v>27.4146200260875</v>
      </c>
      <c r="Q61">
        <f t="shared" si="5"/>
        <v>13.3684128709686</v>
      </c>
      <c r="S61">
        <f t="shared" si="6"/>
        <v>52.4486996059871</v>
      </c>
      <c r="T61">
        <f t="shared" si="7"/>
        <v>150.721362263809</v>
      </c>
      <c r="U61">
        <f t="shared" si="8"/>
        <v>85.5201688894421</v>
      </c>
      <c r="V61">
        <f t="shared" si="9"/>
        <v>944.925200613104</v>
      </c>
    </row>
    <row r="62" spans="7:22">
      <c r="G62">
        <f t="shared" si="0"/>
        <v>58</v>
      </c>
      <c r="H62">
        <f>H61+B$4*H61*(1-H61/B$5)</f>
        <v>80.9562424225658</v>
      </c>
      <c r="I62">
        <f>I61+C$4*I61*(1-I61/C$5)</f>
        <v>39.3026344055581</v>
      </c>
      <c r="J62">
        <f>J61+D$4*J61*(1-J61/D$5)</f>
        <v>54.9790533149756</v>
      </c>
      <c r="K62">
        <f>K61+E$4*K61*(1-K61/E$5)</f>
        <v>139.301348307618</v>
      </c>
      <c r="M62">
        <f t="shared" si="1"/>
        <v>58</v>
      </c>
      <c r="N62">
        <f t="shared" si="2"/>
        <v>11.6171759161784</v>
      </c>
      <c r="O62">
        <f t="shared" si="3"/>
        <v>55.2610820766842</v>
      </c>
      <c r="P62">
        <f t="shared" si="4"/>
        <v>24.2402281960427</v>
      </c>
      <c r="Q62">
        <f t="shared" si="5"/>
        <v>13.889580983119</v>
      </c>
      <c r="S62">
        <f t="shared" si="6"/>
        <v>52.1348408657512</v>
      </c>
      <c r="T62">
        <f t="shared" si="7"/>
        <v>147.492172619126</v>
      </c>
      <c r="U62">
        <f t="shared" si="8"/>
        <v>84.5823677155737</v>
      </c>
      <c r="V62">
        <f t="shared" si="9"/>
        <v>942.398770570308</v>
      </c>
    </row>
    <row r="63" spans="7:22">
      <c r="G63">
        <f t="shared" si="0"/>
        <v>59</v>
      </c>
      <c r="H63">
        <f>H62+B$4*H62*(1-H62/B$5)</f>
        <v>82.8891219110857</v>
      </c>
      <c r="I63">
        <f>I62+C$4*I62*(1-I62/C$5)</f>
        <v>39.7588190477126</v>
      </c>
      <c r="J63">
        <f>J62+D$4*J62*(1-J62/D$5)</f>
        <v>55.9324039190042</v>
      </c>
      <c r="K63">
        <f>K62+E$4*K62*(1-K62/E$5)</f>
        <v>143.868181726834</v>
      </c>
      <c r="M63">
        <f t="shared" si="1"/>
        <v>59</v>
      </c>
      <c r="N63">
        <f t="shared" si="2"/>
        <v>10.1471463567164</v>
      </c>
      <c r="O63">
        <f t="shared" si="3"/>
        <v>49.8246217350525</v>
      </c>
      <c r="P63">
        <f t="shared" si="4"/>
        <v>21.4243123245511</v>
      </c>
      <c r="Q63">
        <f t="shared" si="5"/>
        <v>14.4240486440968</v>
      </c>
      <c r="S63">
        <f t="shared" si="6"/>
        <v>51.8622940377865</v>
      </c>
      <c r="T63">
        <f t="shared" si="7"/>
        <v>144.639470649256</v>
      </c>
      <c r="U63">
        <f t="shared" si="8"/>
        <v>83.7622493576589</v>
      </c>
      <c r="V63">
        <f t="shared" si="9"/>
        <v>939.780865761863</v>
      </c>
    </row>
    <row r="64" spans="7:22">
      <c r="G64">
        <f t="shared" si="0"/>
        <v>60</v>
      </c>
      <c r="H64">
        <f>H63+B$4*H63*(1-H63/B$5)</f>
        <v>84.8659248681519</v>
      </c>
      <c r="I64">
        <f>I63+C$4*I63*(1-I63/C$5)</f>
        <v>40.2201172393644</v>
      </c>
      <c r="J64">
        <f>J63+D$4*J63*(1-J63/D$5)</f>
        <v>56.9016459838484</v>
      </c>
      <c r="K64">
        <f>K63+E$4*K63*(1-K63/E$5)</f>
        <v>148.574280869106</v>
      </c>
      <c r="M64">
        <f t="shared" si="1"/>
        <v>60</v>
      </c>
      <c r="N64">
        <f t="shared" si="2"/>
        <v>8.86188883280732</v>
      </c>
      <c r="O64">
        <f t="shared" si="3"/>
        <v>44.8732408943647</v>
      </c>
      <c r="P64">
        <f t="shared" si="4"/>
        <v>18.9284849123666</v>
      </c>
      <c r="Q64">
        <f t="shared" si="5"/>
        <v>14.9715303319904</v>
      </c>
      <c r="S64">
        <f t="shared" si="6"/>
        <v>51.6254796081881</v>
      </c>
      <c r="T64">
        <f t="shared" si="7"/>
        <v>142.117158229685</v>
      </c>
      <c r="U64">
        <f t="shared" si="8"/>
        <v>83.0444299211607</v>
      </c>
      <c r="V64">
        <f t="shared" si="9"/>
        <v>937.069776777354</v>
      </c>
    </row>
    <row r="65" spans="7:22">
      <c r="G65">
        <f t="shared" si="0"/>
        <v>61</v>
      </c>
      <c r="H65">
        <f>H64+B$4*H64*(1-H64/B$5)</f>
        <v>86.8875420842484</v>
      </c>
      <c r="I65">
        <f>I64+C$4*I64*(1-I64/C$5)</f>
        <v>40.6865820679293</v>
      </c>
      <c r="J65">
        <f>J64+D$4*J64*(1-J64/D$5)</f>
        <v>57.8870220437696</v>
      </c>
      <c r="K65">
        <f>K64+E$4*K64*(1-K64/E$5)</f>
        <v>153.423198384637</v>
      </c>
      <c r="M65">
        <f t="shared" si="1"/>
        <v>61</v>
      </c>
      <c r="N65">
        <f t="shared" si="2"/>
        <v>7.73848017543888</v>
      </c>
      <c r="O65">
        <f t="shared" si="3"/>
        <v>40.3742948769721</v>
      </c>
      <c r="P65">
        <f t="shared" si="4"/>
        <v>16.7179742710392</v>
      </c>
      <c r="Q65">
        <f t="shared" si="5"/>
        <v>15.5316744994345</v>
      </c>
      <c r="S65">
        <f t="shared" si="6"/>
        <v>51.4196049406354</v>
      </c>
      <c r="T65">
        <f t="shared" si="7"/>
        <v>139.885118112923</v>
      </c>
      <c r="U65">
        <f t="shared" si="8"/>
        <v>82.4156678256332</v>
      </c>
      <c r="V65">
        <f t="shared" si="9"/>
        <v>934.263903060112</v>
      </c>
    </row>
    <row r="66" spans="7:22">
      <c r="G66">
        <f t="shared" si="0"/>
        <v>62</v>
      </c>
      <c r="H66">
        <f>H65+B$4*H65*(1-H65/B$5)</f>
        <v>88.9548772340012</v>
      </c>
      <c r="I66">
        <f>I65+C$4*I65*(1-I65/C$5)</f>
        <v>41.1582670731408</v>
      </c>
      <c r="J66">
        <f>J65+D$4*J65*(1-J65/D$5)</f>
        <v>58.8887775527043</v>
      </c>
      <c r="K66">
        <f>K65+E$4*K65*(1-K65/E$5)</f>
        <v>158.418531363059</v>
      </c>
      <c r="M66">
        <f t="shared" si="1"/>
        <v>62</v>
      </c>
      <c r="N66">
        <f t="shared" si="2"/>
        <v>6.75676746618095</v>
      </c>
      <c r="O66">
        <f t="shared" si="3"/>
        <v>36.2948676980832</v>
      </c>
      <c r="P66">
        <f t="shared" si="4"/>
        <v>14.7614073360791</v>
      </c>
      <c r="Q66">
        <f t="shared" si="5"/>
        <v>16.1040598922995</v>
      </c>
      <c r="S66">
        <f t="shared" si="6"/>
        <v>51.2405456235775</v>
      </c>
      <c r="T66">
        <f t="shared" si="7"/>
        <v>137.908401060266</v>
      </c>
      <c r="U66">
        <f t="shared" si="8"/>
        <v>81.8645386199374</v>
      </c>
      <c r="V66">
        <f t="shared" si="9"/>
        <v>931.361766492332</v>
      </c>
    </row>
    <row r="67" spans="7:22">
      <c r="G67">
        <f t="shared" si="0"/>
        <v>63</v>
      </c>
      <c r="H67">
        <f>H66+B$4*H66*(1-H66/B$5)</f>
        <v>91.0688468011885</v>
      </c>
      <c r="I67">
        <f>I66+C$4*I66*(1-I66/C$5)</f>
        <v>41.6352262485338</v>
      </c>
      <c r="J67">
        <f>J66+D$4*J66*(1-J66/D$5)</f>
        <v>59.9071608911932</v>
      </c>
      <c r="K67">
        <f>K66+E$4*K66*(1-K66/E$5)</f>
        <v>163.563918557233</v>
      </c>
      <c r="M67">
        <f t="shared" si="1"/>
        <v>63</v>
      </c>
      <c r="N67">
        <f t="shared" si="2"/>
        <v>5.89905154948224</v>
      </c>
      <c r="O67">
        <f t="shared" si="3"/>
        <v>32.6025160531985</v>
      </c>
      <c r="P67">
        <f t="shared" si="4"/>
        <v>13.0305705560468</v>
      </c>
      <c r="Q67">
        <f t="shared" si="5"/>
        <v>16.6881920422527</v>
      </c>
      <c r="S67">
        <f t="shared" si="6"/>
        <v>51.0847464203491</v>
      </c>
      <c r="T67">
        <f t="shared" si="7"/>
        <v>136.156522550439</v>
      </c>
      <c r="U67">
        <f t="shared" si="8"/>
        <v>81.3811642995578</v>
      </c>
      <c r="V67">
        <f t="shared" si="9"/>
        <v>928.362025358533</v>
      </c>
    </row>
    <row r="68" spans="7:22">
      <c r="G68">
        <f t="shared" si="0"/>
        <v>64</v>
      </c>
      <c r="H68">
        <f>H67+B$4*H67*(1-H67/B$5)</f>
        <v>93.2303799870836</v>
      </c>
      <c r="I68">
        <f>I67+C$4*I67*(1-I67/C$5)</f>
        <v>42.1175140428686</v>
      </c>
      <c r="J68">
        <f>J67+D$4*J67*(1-J67/D$5)</f>
        <v>60.9424233721221</v>
      </c>
      <c r="K68">
        <f>K67+E$4*K67*(1-K67/E$5)</f>
        <v>168.863037324516</v>
      </c>
      <c r="M68">
        <f t="shared" si="1"/>
        <v>64</v>
      </c>
      <c r="N68">
        <f t="shared" si="2"/>
        <v>5.14980201569655</v>
      </c>
      <c r="O68">
        <f t="shared" si="3"/>
        <v>29.2658044694882</v>
      </c>
      <c r="P68">
        <f t="shared" si="4"/>
        <v>11.5001621739753</v>
      </c>
      <c r="Q68">
        <f t="shared" si="5"/>
        <v>17.2834999886984</v>
      </c>
      <c r="S68">
        <f t="shared" si="6"/>
        <v>50.9491382217124</v>
      </c>
      <c r="T68">
        <f t="shared" si="7"/>
        <v>134.602856726169</v>
      </c>
      <c r="U68">
        <f t="shared" si="8"/>
        <v>80.9569870982224</v>
      </c>
      <c r="V68">
        <f t="shared" si="9"/>
        <v>925.26348860575</v>
      </c>
    </row>
    <row r="69" spans="7:22">
      <c r="G69">
        <f t="shared" ref="G69:G132" si="10">G68+1</f>
        <v>65</v>
      </c>
      <c r="H69">
        <f>H68+B$4*H68*(1-H68/B$5)</f>
        <v>95.4404186013087</v>
      </c>
      <c r="I69">
        <f>I68+C$4*I68*(1-I68/C$5)</f>
        <v>42.6051853614915</v>
      </c>
      <c r="J69">
        <f>J68+D$4*J68*(1-J68/D$5)</f>
        <v>61.9948192452227</v>
      </c>
      <c r="K69">
        <f>K68+E$4*K68*(1-K68/E$5)</f>
        <v>174.319600272644</v>
      </c>
      <c r="M69">
        <f t="shared" ref="M69:M123" si="11">M68+1</f>
        <v>65</v>
      </c>
      <c r="N69">
        <f t="shared" ref="N69:N123" si="12">MAX(0,N68+($B$8*(1-B$6))*S68*N68/$B$12-$B$9*N68-$B$10*N68)</f>
        <v>4.49540180196255</v>
      </c>
      <c r="O69">
        <f t="shared" ref="O69:O123" si="13">MAX(0,O68+($B$8*(1-C$6))*T68*O68/$B$12-$B$9*O68-$B$10*O68)</f>
        <v>26.2546751091589</v>
      </c>
      <c r="P69">
        <f t="shared" ref="P69:P123" si="14">MAX(0,P68+($B$8*(1-D$6))*U68*P68/$B$12-$B$9*P68-$B$10*P68)</f>
        <v>10.1475452401774</v>
      </c>
      <c r="Q69">
        <f t="shared" ref="Q69:Q123" si="15">MAX(0,Q68+($B$8*(1-E$6))*V68*Q68/$B$12-$B$9*Q68-$B$10*Q68)</f>
        <v>17.8893332893657</v>
      </c>
      <c r="S69">
        <f t="shared" ref="S69:S123" si="16">MAX(0,S68-($B$8*(1-B$6))*S68*N68/$B$12)</f>
        <v>50.8310681330919</v>
      </c>
      <c r="T69">
        <f t="shared" ref="T69:T123" si="17">MAX(0,T68-($B$8*(1-C$6))*T68*O68/$B$12)</f>
        <v>133.224115416075</v>
      </c>
      <c r="U69">
        <f t="shared" ref="U69:U123" si="18">MAX(0,U68-($B$8*(1-D$6))*U68*P68/$B$12)</f>
        <v>80.584579705924</v>
      </c>
      <c r="V69">
        <f t="shared" ref="V69:V123" si="19">MAX(0,V68-($B$8*(1-E$6))*V68*Q68/$B$12)</f>
        <v>922.065130306778</v>
      </c>
    </row>
    <row r="70" spans="7:22">
      <c r="G70">
        <f t="shared" si="10"/>
        <v>66</v>
      </c>
      <c r="H70">
        <f>H69+B$4*H69*(1-H69/B$5)</f>
        <v>97.6999169343582</v>
      </c>
      <c r="I70">
        <f>I69+C$4*I69*(1-I69/C$5)</f>
        <v>43.0982955676325</v>
      </c>
      <c r="J70">
        <f>J69+D$4*J69*(1-J69/D$5)</f>
        <v>63.0646057002777</v>
      </c>
      <c r="K70">
        <f>K69+E$4*K69*(1-K69/E$5)</f>
        <v>179.937351597472</v>
      </c>
      <c r="M70">
        <f t="shared" si="11"/>
        <v>66</v>
      </c>
      <c r="N70">
        <f t="shared" si="12"/>
        <v>3.9239192655447</v>
      </c>
      <c r="O70">
        <f t="shared" si="13"/>
        <v>23.540688396219</v>
      </c>
      <c r="P70">
        <f t="shared" si="14"/>
        <v>8.95250772144137</v>
      </c>
      <c r="Q70">
        <f t="shared" si="15"/>
        <v>18.5049593820729</v>
      </c>
      <c r="S70">
        <f t="shared" si="16"/>
        <v>50.7282403992154</v>
      </c>
      <c r="T70">
        <f t="shared" si="17"/>
        <v>131.999900862641</v>
      </c>
      <c r="U70">
        <f t="shared" si="18"/>
        <v>80.2574854386334</v>
      </c>
      <c r="V70">
        <f t="shared" si="19"/>
        <v>918.766104220666</v>
      </c>
    </row>
    <row r="71" spans="7:22">
      <c r="G71">
        <f t="shared" si="10"/>
        <v>67</v>
      </c>
      <c r="H71">
        <f>H70+B$4*H70*(1-H70/B$5)</f>
        <v>100.009841610926</v>
      </c>
      <c r="I71">
        <f>I70+C$4*I70*(1-I70/C$5)</f>
        <v>43.5969004836357</v>
      </c>
      <c r="J71">
        <f>J70+D$4*J70*(1-J70/D$5)</f>
        <v>64.1520428689772</v>
      </c>
      <c r="K71">
        <f>K70+E$4*K70*(1-K70/E$5)</f>
        <v>185.720063099976</v>
      </c>
      <c r="M71">
        <f t="shared" si="11"/>
        <v>67</v>
      </c>
      <c r="N71">
        <f t="shared" si="12"/>
        <v>3.42490545962734</v>
      </c>
      <c r="O71">
        <f t="shared" si="13"/>
        <v>21.0971641238749</v>
      </c>
      <c r="P71">
        <f t="shared" si="14"/>
        <v>7.8970338664623</v>
      </c>
      <c r="Q71">
        <f t="shared" si="15"/>
        <v>19.1295613628077</v>
      </c>
      <c r="S71">
        <f t="shared" si="16"/>
        <v>50.6386663153011</v>
      </c>
      <c r="T71">
        <f t="shared" si="17"/>
        <v>130.912321875553</v>
      </c>
      <c r="U71">
        <f t="shared" si="18"/>
        <v>79.9700831353962</v>
      </c>
      <c r="V71">
        <f t="shared" si="19"/>
        <v>915.36575833262</v>
      </c>
    </row>
    <row r="72" spans="7:22">
      <c r="G72">
        <f t="shared" si="10"/>
        <v>68</v>
      </c>
      <c r="H72">
        <f>H71+B$4*H71*(1-H71/B$5)</f>
        <v>102.371171423157</v>
      </c>
      <c r="I72">
        <f>I71+C$4*I71*(1-I71/C$5)</f>
        <v>44.1010563921216</v>
      </c>
      <c r="J72">
        <f>J71+D$4*J71*(1-J71/D$5)</f>
        <v>65.2573938253676</v>
      </c>
      <c r="K72">
        <f>K71+E$4*K71*(1-K71/E$5)</f>
        <v>191.671529870145</v>
      </c>
      <c r="M72">
        <f t="shared" si="11"/>
        <v>68</v>
      </c>
      <c r="N72">
        <f t="shared" si="12"/>
        <v>2.98921433081242</v>
      </c>
      <c r="O72">
        <f t="shared" si="13"/>
        <v>18.8992470644498</v>
      </c>
      <c r="P72">
        <f t="shared" si="14"/>
        <v>6.96508936842257</v>
      </c>
      <c r="Q72">
        <f t="shared" si="15"/>
        <v>19.762236247074</v>
      </c>
      <c r="S72">
        <f t="shared" si="16"/>
        <v>50.5606216251719</v>
      </c>
      <c r="T72">
        <f t="shared" si="17"/>
        <v>129.945664316396</v>
      </c>
      <c r="U72">
        <f t="shared" si="18"/>
        <v>79.7174725534666</v>
      </c>
      <c r="V72">
        <f t="shared" si="19"/>
        <v>911.863649243932</v>
      </c>
    </row>
    <row r="73" spans="7:22">
      <c r="G73">
        <f t="shared" si="10"/>
        <v>69</v>
      </c>
      <c r="H73">
        <f>H72+B$4*H72*(1-H72/B$5)</f>
        <v>104.784897142922</v>
      </c>
      <c r="I73">
        <f>I72+C$4*I72*(1-I72/C$5)</f>
        <v>44.610820037078</v>
      </c>
      <c r="J73">
        <f>J72+D$4*J72*(1-J72/D$5)</f>
        <v>66.3809245848377</v>
      </c>
      <c r="K73">
        <f>K72+E$4*K72*(1-K72/E$5)</f>
        <v>197.795565625738</v>
      </c>
      <c r="M73">
        <f t="shared" si="11"/>
        <v>69</v>
      </c>
      <c r="N73">
        <f t="shared" si="12"/>
        <v>2.6088436218221</v>
      </c>
      <c r="O73">
        <f t="shared" si="13"/>
        <v>16.9239163299867</v>
      </c>
      <c r="P73">
        <f t="shared" si="14"/>
        <v>6.14242169138305</v>
      </c>
      <c r="Q73">
        <f t="shared" si="15"/>
        <v>20.4019937823084</v>
      </c>
      <c r="S73">
        <f t="shared" si="16"/>
        <v>50.4926101845403</v>
      </c>
      <c r="T73">
        <f t="shared" si="17"/>
        <v>129.086107991192</v>
      </c>
      <c r="U73">
        <f t="shared" si="18"/>
        <v>79.4953768252427</v>
      </c>
      <c r="V73">
        <f t="shared" si="19"/>
        <v>908.259556271637</v>
      </c>
    </row>
    <row r="74" spans="7:22">
      <c r="G74">
        <f t="shared" si="10"/>
        <v>70</v>
      </c>
      <c r="H74">
        <f>H73+B$4*H73*(1-H73/B$5)</f>
        <v>107.2520213122</v>
      </c>
      <c r="I74">
        <f>I73+C$4*I73*(1-I73/C$5)</f>
        <v>45.1262486248792</v>
      </c>
      <c r="J74">
        <f>J73+D$4*J73*(1-J73/D$5)</f>
        <v>67.5229041015799</v>
      </c>
      <c r="K74">
        <f>K73+E$4*K73*(1-K73/E$5)</f>
        <v>204.095997694302</v>
      </c>
      <c r="M74">
        <f t="shared" si="11"/>
        <v>70</v>
      </c>
      <c r="N74">
        <f t="shared" si="12"/>
        <v>2.27679437436187</v>
      </c>
      <c r="O74">
        <f t="shared" si="13"/>
        <v>15.149953752341</v>
      </c>
      <c r="P74">
        <f t="shared" si="14"/>
        <v>5.41637608846601</v>
      </c>
      <c r="Q74">
        <f t="shared" si="15"/>
        <v>21.0477558789174</v>
      </c>
      <c r="S74">
        <f t="shared" si="16"/>
        <v>50.4333328887273</v>
      </c>
      <c r="T74">
        <f t="shared" si="17"/>
        <v>128.32148311934</v>
      </c>
      <c r="U74">
        <f t="shared" si="18"/>
        <v>79.3000591744523</v>
      </c>
      <c r="V74">
        <f t="shared" si="19"/>
        <v>904.553495107682</v>
      </c>
    </row>
    <row r="75" spans="7:22">
      <c r="G75">
        <f t="shared" si="10"/>
        <v>71</v>
      </c>
      <c r="H75">
        <f>H74+B$4*H74*(1-H74/B$5)</f>
        <v>109.773558010623</v>
      </c>
      <c r="I75">
        <f>I74+C$4*I74*(1-I74/C$5)</f>
        <v>45.6473998252282</v>
      </c>
      <c r="J75">
        <f>J74+D$4*J74*(1-J74/D$5)</f>
        <v>68.6836042644686</v>
      </c>
      <c r="K75">
        <f>K74+E$4*K74*(1-K74/E$5)</f>
        <v>210.576661627412</v>
      </c>
      <c r="M75">
        <f t="shared" si="11"/>
        <v>71</v>
      </c>
      <c r="N75">
        <f t="shared" si="12"/>
        <v>1.98694706607821</v>
      </c>
      <c r="O75">
        <f t="shared" si="13"/>
        <v>13.5578832766312</v>
      </c>
      <c r="P75">
        <f t="shared" si="14"/>
        <v>4.77572725292668</v>
      </c>
      <c r="Q75">
        <f t="shared" si="15"/>
        <v>21.6983567259693</v>
      </c>
      <c r="S75">
        <f t="shared" si="16"/>
        <v>50.3816610408566</v>
      </c>
      <c r="T75">
        <f t="shared" si="17"/>
        <v>127.641060532198</v>
      </c>
      <c r="U75">
        <f t="shared" si="18"/>
        <v>79.1282515967218</v>
      </c>
      <c r="V75">
        <f t="shared" si="19"/>
        <v>900.745730878792</v>
      </c>
    </row>
    <row r="76" spans="7:22">
      <c r="G76">
        <f t="shared" si="10"/>
        <v>72</v>
      </c>
      <c r="H76">
        <f>H75+B$4*H75*(1-H75/B$5)</f>
        <v>112.350532599245</v>
      </c>
      <c r="I76">
        <f>I75+C$4*I75*(1-I75/C$5)</f>
        <v>46.1743317720229</v>
      </c>
      <c r="J76">
        <f>J75+D$4*J75*(1-J75/D$5)</f>
        <v>69.8632998912919</v>
      </c>
      <c r="K76">
        <f>K75+E$4*K75*(1-K75/E$5)</f>
        <v>217.241395436746</v>
      </c>
      <c r="M76">
        <f t="shared" si="11"/>
        <v>72</v>
      </c>
      <c r="N76">
        <f t="shared" si="12"/>
        <v>1.73395256828165</v>
      </c>
      <c r="O76">
        <f t="shared" si="13"/>
        <v>12.1298906951369</v>
      </c>
      <c r="P76">
        <f t="shared" si="14"/>
        <v>4.21052614403844</v>
      </c>
      <c r="Q76">
        <f t="shared" si="15"/>
        <v>22.3525436546743</v>
      </c>
      <c r="S76">
        <f t="shared" si="16"/>
        <v>50.3366134787415</v>
      </c>
      <c r="T76">
        <f t="shared" si="17"/>
        <v>127.035370622198</v>
      </c>
      <c r="U76">
        <f t="shared" si="18"/>
        <v>78.977093617671</v>
      </c>
      <c r="V76">
        <f t="shared" si="19"/>
        <v>896.836790441192</v>
      </c>
    </row>
    <row r="77" spans="7:22">
      <c r="G77">
        <f t="shared" si="10"/>
        <v>73</v>
      </c>
      <c r="H77">
        <f>H76+B$4*H76*(1-H76/B$5)</f>
        <v>114.983981439569</v>
      </c>
      <c r="I77">
        <f>I76+C$4*I76*(1-I76/C$5)</f>
        <v>46.7071030641412</v>
      </c>
      <c r="J77">
        <f>J76+D$4*J76*(1-J76/D$5)</f>
        <v>71.0622687212748</v>
      </c>
      <c r="K77">
        <f>K76+E$4*K76*(1-K76/E$5)</f>
        <v>224.094033442398</v>
      </c>
      <c r="M77">
        <f t="shared" si="11"/>
        <v>73</v>
      </c>
      <c r="N77">
        <f t="shared" si="12"/>
        <v>1.51313626813843</v>
      </c>
      <c r="O77">
        <f t="shared" si="13"/>
        <v>10.8497308968886</v>
      </c>
      <c r="P77">
        <f t="shared" si="14"/>
        <v>3.71196126941563</v>
      </c>
      <c r="Q77">
        <f t="shared" si="15"/>
        <v>23.0089788083641</v>
      </c>
      <c r="S77">
        <f t="shared" si="16"/>
        <v>50.2973368936424</v>
      </c>
      <c r="T77">
        <f t="shared" si="17"/>
        <v>126.496046816176</v>
      </c>
      <c r="U77">
        <f t="shared" si="18"/>
        <v>78.844079570688</v>
      </c>
      <c r="V77">
        <f t="shared" si="19"/>
        <v>892.827473739301</v>
      </c>
    </row>
    <row r="78" spans="7:22">
      <c r="G78">
        <f t="shared" si="10"/>
        <v>74</v>
      </c>
      <c r="H78">
        <f>H77+B$4*H77*(1-H77/B$5)</f>
        <v>117.67495158684</v>
      </c>
      <c r="I78">
        <f>I77+C$4*I77*(1-I77/C$5)</f>
        <v>47.2457727661445</v>
      </c>
      <c r="J78">
        <f>J77+D$4*J77*(1-J77/D$5)</f>
        <v>72.2807914058279</v>
      </c>
      <c r="K78">
        <f>K77+E$4*K77*(1-K77/E$5)</f>
        <v>231.138399724765</v>
      </c>
      <c r="M78">
        <f t="shared" si="11"/>
        <v>74</v>
      </c>
      <c r="N78">
        <f t="shared" si="12"/>
        <v>1.32041385400772</v>
      </c>
      <c r="O78">
        <f t="shared" si="13"/>
        <v>9.7026280859718</v>
      </c>
      <c r="P78">
        <f t="shared" si="14"/>
        <v>3.27223354687893</v>
      </c>
      <c r="Q78">
        <f t="shared" si="15"/>
        <v>23.6662416716681</v>
      </c>
      <c r="S78">
        <f t="shared" si="16"/>
        <v>50.2630888675524</v>
      </c>
      <c r="T78">
        <f t="shared" si="17"/>
        <v>126.015689992559</v>
      </c>
      <c r="U78">
        <f t="shared" si="18"/>
        <v>78.7270131028124</v>
      </c>
      <c r="V78">
        <f t="shared" si="19"/>
        <v>888.718864054742</v>
      </c>
    </row>
    <row r="79" spans="7:22">
      <c r="G79">
        <f t="shared" si="10"/>
        <v>75</v>
      </c>
      <c r="H79">
        <f>H78+B$4*H78*(1-H78/B$5)</f>
        <v>120.424500456636</v>
      </c>
      <c r="I79">
        <f>I78+C$4*I78*(1-I78/C$5)</f>
        <v>47.7904004088955</v>
      </c>
      <c r="J79">
        <f>J78+D$4*J78*(1-J78/D$5)</f>
        <v>73.5191514974578</v>
      </c>
      <c r="K79">
        <f>K78+E$4*K78*(1-K78/E$5)</f>
        <v>238.378301172425</v>
      </c>
      <c r="M79">
        <f t="shared" si="11"/>
        <v>75</v>
      </c>
      <c r="N79">
        <f t="shared" si="12"/>
        <v>1.15221741140523</v>
      </c>
      <c r="O79">
        <f t="shared" si="13"/>
        <v>8.67517305362425</v>
      </c>
      <c r="P79">
        <f t="shared" si="14"/>
        <v>2.88444378417533</v>
      </c>
      <c r="Q79">
        <f t="shared" si="15"/>
        <v>24.3228325038958</v>
      </c>
      <c r="S79">
        <f t="shared" si="16"/>
        <v>50.2332232320537</v>
      </c>
      <c r="T79">
        <f t="shared" si="17"/>
        <v>125.587750812011</v>
      </c>
      <c r="U79">
        <f t="shared" si="18"/>
        <v>78.6239678334842</v>
      </c>
      <c r="V79">
        <f t="shared" si="19"/>
        <v>884.512336971764</v>
      </c>
    </row>
    <row r="80" spans="7:22">
      <c r="G80">
        <f t="shared" si="10"/>
        <v>76</v>
      </c>
      <c r="H80">
        <f>H79+B$4*H79*(1-H79/B$5)</f>
        <v>123.233695463744</v>
      </c>
      <c r="I80">
        <f>I79+C$4*I79*(1-I79/C$5)</f>
        <v>48.3410459900898</v>
      </c>
      <c r="J80">
        <f>J79+D$4*J79*(1-J79/D$5)</f>
        <v>74.7776354367692</v>
      </c>
      <c r="K80">
        <f>K79+E$4*K79*(1-K79/E$5)</f>
        <v>245.817520119621</v>
      </c>
      <c r="M80">
        <f t="shared" si="11"/>
        <v>76</v>
      </c>
      <c r="N80">
        <f t="shared" si="12"/>
        <v>1.00543061719199</v>
      </c>
      <c r="O80">
        <f t="shared" si="13"/>
        <v>7.75522051067898</v>
      </c>
      <c r="P80">
        <f t="shared" si="14"/>
        <v>2.54249178267083</v>
      </c>
      <c r="Q80">
        <f t="shared" si="15"/>
        <v>24.9771767122702</v>
      </c>
      <c r="S80">
        <f t="shared" si="16"/>
        <v>50.2071774145562</v>
      </c>
      <c r="T80">
        <f t="shared" si="17"/>
        <v>125.206427396913</v>
      </c>
      <c r="U80">
        <f t="shared" si="18"/>
        <v>78.5332532673624</v>
      </c>
      <c r="V80">
        <f t="shared" si="19"/>
        <v>880.209567887805</v>
      </c>
    </row>
    <row r="81" spans="7:22">
      <c r="G81">
        <f t="shared" si="10"/>
        <v>77</v>
      </c>
      <c r="H81">
        <f>H80+B$4*H80*(1-H80/B$5)</f>
        <v>126.103613632314</v>
      </c>
      <c r="I81">
        <f>I80+C$4*I80*(1-I80/C$5)</f>
        <v>48.8977699746967</v>
      </c>
      <c r="J81">
        <f>J80+D$4*J80*(1-J80/D$5)</f>
        <v>76.0565325374928</v>
      </c>
      <c r="K81">
        <f>K80+E$4*K80*(1-K80/E$5)</f>
        <v>253.459806568389</v>
      </c>
      <c r="M81">
        <f t="shared" si="11"/>
        <v>77</v>
      </c>
      <c r="N81">
        <f t="shared" si="12"/>
        <v>0.877331949632111</v>
      </c>
      <c r="O81">
        <f t="shared" si="13"/>
        <v>6.93178864291322</v>
      </c>
      <c r="P81">
        <f t="shared" si="14"/>
        <v>2.24098607570967</v>
      </c>
      <c r="Q81">
        <f t="shared" si="15"/>
        <v>25.6276301896226</v>
      </c>
      <c r="S81">
        <f t="shared" si="16"/>
        <v>50.1844614895373</v>
      </c>
      <c r="T81">
        <f t="shared" si="17"/>
        <v>124.866576188077</v>
      </c>
      <c r="U81">
        <f t="shared" si="18"/>
        <v>78.4533852069229</v>
      </c>
      <c r="V81">
        <f t="shared" si="19"/>
        <v>875.812537903612</v>
      </c>
    </row>
    <row r="82" spans="7:22">
      <c r="G82">
        <f t="shared" si="10"/>
        <v>78</v>
      </c>
      <c r="H82">
        <f>H81+B$4*H81*(1-H81/B$5)</f>
        <v>129.035341176301</v>
      </c>
      <c r="I82">
        <f>I81+C$4*I81*(1-I81/C$5)</f>
        <v>49.4606332953081</v>
      </c>
      <c r="J82">
        <f>J81+D$4*J81*(1-J81/D$5)</f>
        <v>77.3561349694682</v>
      </c>
      <c r="K82">
        <f>K81+E$4*K81*(1-K81/E$5)</f>
        <v>261.308869991874</v>
      </c>
      <c r="M82">
        <f t="shared" si="11"/>
        <v>78</v>
      </c>
      <c r="N82">
        <f t="shared" si="12"/>
        <v>0.765544951335228</v>
      </c>
      <c r="O82">
        <f t="shared" si="13"/>
        <v>6.19496239662122</v>
      </c>
      <c r="P82">
        <f t="shared" si="14"/>
        <v>1.97516334188962</v>
      </c>
      <c r="Q82">
        <f t="shared" si="15"/>
        <v>26.272485628545</v>
      </c>
      <c r="S82">
        <f t="shared" si="16"/>
        <v>50.1646486953893</v>
      </c>
      <c r="T82">
        <f t="shared" si="17"/>
        <v>124.563634137932</v>
      </c>
      <c r="U82">
        <f t="shared" si="18"/>
        <v>78.3830600293865</v>
      </c>
      <c r="V82">
        <f t="shared" si="19"/>
        <v>871.323537936247</v>
      </c>
    </row>
    <row r="83" spans="7:22">
      <c r="G83">
        <f t="shared" si="10"/>
        <v>79</v>
      </c>
      <c r="H83">
        <f>H82+B$4*H82*(1-H82/B$5)</f>
        <v>132.029973049146</v>
      </c>
      <c r="I83">
        <f>I82+C$4*I82*(1-I82/C$5)</f>
        <v>50.0296973523921</v>
      </c>
      <c r="J83">
        <f>J82+D$4*J82*(1-J82/D$5)</f>
        <v>78.6767377395096</v>
      </c>
      <c r="K83">
        <f>K82+E$4*K82*(1-K82/E$5)</f>
        <v>269.368370717146</v>
      </c>
      <c r="M83">
        <f t="shared" si="11"/>
        <v>79</v>
      </c>
      <c r="N83">
        <f t="shared" si="12"/>
        <v>0.667994690729861</v>
      </c>
      <c r="O83">
        <f t="shared" si="13"/>
        <v>5.53580149744288</v>
      </c>
      <c r="P83">
        <f t="shared" si="14"/>
        <v>1.74081657932425</v>
      </c>
      <c r="Q83">
        <f t="shared" si="15"/>
        <v>26.9099798099118</v>
      </c>
      <c r="S83">
        <f t="shared" si="16"/>
        <v>50.1473672132944</v>
      </c>
      <c r="T83">
        <f t="shared" si="17"/>
        <v>124.293550677617</v>
      </c>
      <c r="U83">
        <f t="shared" si="18"/>
        <v>78.3211322906684</v>
      </c>
      <c r="V83">
        <f t="shared" si="19"/>
        <v>866.745170910598</v>
      </c>
    </row>
    <row r="84" spans="7:22">
      <c r="G84">
        <f t="shared" si="10"/>
        <v>80</v>
      </c>
      <c r="H84">
        <f>H83+B$4*H83*(1-H83/B$5)</f>
        <v>135.088612461717</v>
      </c>
      <c r="I84">
        <f>I83+C$4*I83*(1-I83/C$5)</f>
        <v>50.6050240144491</v>
      </c>
      <c r="J84">
        <f>J83+D$4*J83*(1-J83/D$5)</f>
        <v>80.0186386700848</v>
      </c>
      <c r="K84">
        <f>K83+E$4*K83*(1-K83/E$5)</f>
        <v>277.641910887701</v>
      </c>
      <c r="M84">
        <f t="shared" si="11"/>
        <v>80</v>
      </c>
      <c r="N84">
        <f t="shared" si="12"/>
        <v>0.582869665894035</v>
      </c>
      <c r="O84">
        <f t="shared" si="13"/>
        <v>4.94625382121372</v>
      </c>
      <c r="P84">
        <f t="shared" si="14"/>
        <v>1.53423118266683</v>
      </c>
      <c r="Q84">
        <f t="shared" si="15"/>
        <v>27.5383018483336</v>
      </c>
      <c r="S84">
        <f t="shared" si="16"/>
        <v>50.1322930345208</v>
      </c>
      <c r="T84">
        <f t="shared" si="17"/>
        <v>124.052728129229</v>
      </c>
      <c r="U84">
        <f t="shared" si="18"/>
        <v>78.2665952004272</v>
      </c>
      <c r="V84">
        <f t="shared" si="19"/>
        <v>862.080351900689</v>
      </c>
    </row>
    <row r="85" spans="7:22">
      <c r="G85">
        <f t="shared" si="10"/>
        <v>81</v>
      </c>
      <c r="H85">
        <f>H84+B$4*H84*(1-H84/B$5)</f>
        <v>138.212370367471</v>
      </c>
      <c r="I85">
        <f>I84+C$4*I84*(1-I84/C$5)</f>
        <v>51.1866756180674</v>
      </c>
      <c r="J85">
        <f>J84+D$4*J84*(1-J84/D$5)</f>
        <v>81.382138375731</v>
      </c>
      <c r="K85">
        <f>K84+E$4*K84*(1-K84/E$5)</f>
        <v>286.133025007931</v>
      </c>
      <c r="M85">
        <f t="shared" si="11"/>
        <v>81</v>
      </c>
      <c r="N85">
        <f t="shared" si="12"/>
        <v>0.508588482811119</v>
      </c>
      <c r="O85">
        <f t="shared" si="13"/>
        <v>4.41907444622108</v>
      </c>
      <c r="P85">
        <f t="shared" si="14"/>
        <v>1.35212812563387</v>
      </c>
      <c r="Q85">
        <f t="shared" si="15"/>
        <v>28.1556023607153</v>
      </c>
      <c r="S85">
        <f t="shared" si="16"/>
        <v>50.1191437677196</v>
      </c>
      <c r="T85">
        <f t="shared" si="17"/>
        <v>123.83796943104</v>
      </c>
      <c r="U85">
        <f t="shared" si="18"/>
        <v>78.2185635800601</v>
      </c>
      <c r="V85">
        <f t="shared" si="19"/>
        <v>857.332306111058</v>
      </c>
    </row>
    <row r="86" spans="7:22">
      <c r="G86">
        <f t="shared" si="10"/>
        <v>82</v>
      </c>
      <c r="H86">
        <f>H85+B$4*H85*(1-H85/B$5)</f>
        <v>141.402364913844</v>
      </c>
      <c r="I86">
        <f>I85+C$4*I85*(1-I85/C$5)</f>
        <v>51.7747149678759</v>
      </c>
      <c r="J86">
        <f>J85+D$4*J85*(1-J85/D$5)</f>
        <v>82.7675402371349</v>
      </c>
      <c r="K86">
        <f>K85+E$4*K85*(1-K85/E$5)</f>
        <v>294.845170074115</v>
      </c>
      <c r="M86">
        <f t="shared" si="11"/>
        <v>82</v>
      </c>
      <c r="N86">
        <f t="shared" si="12"/>
        <v>0.443770719069329</v>
      </c>
      <c r="O86">
        <f t="shared" si="13"/>
        <v>3.94775050145253</v>
      </c>
      <c r="P86">
        <f t="shared" si="14"/>
        <v>1.1916135146941</v>
      </c>
      <c r="Q86">
        <f t="shared" si="15"/>
        <v>28.7600035069796</v>
      </c>
      <c r="S86">
        <f t="shared" si="16"/>
        <v>50.1076732590397</v>
      </c>
      <c r="T86">
        <f t="shared" si="17"/>
        <v>123.646432208875</v>
      </c>
      <c r="U86">
        <f t="shared" si="18"/>
        <v>78.1762589721548</v>
      </c>
      <c r="V86">
        <f t="shared" si="19"/>
        <v>852.504564610686</v>
      </c>
    </row>
    <row r="87" spans="7:22">
      <c r="G87">
        <f t="shared" si="10"/>
        <v>83</v>
      </c>
      <c r="H87">
        <f>H86+B$4*H86*(1-H86/B$5)</f>
        <v>144.659720858867</v>
      </c>
      <c r="I87">
        <f>I86+C$4*I86*(1-I86/C$5)</f>
        <v>52.3692053363904</v>
      </c>
      <c r="J87">
        <f>J86+D$4*J86*(1-J86/D$5)</f>
        <v>84.1751503728004</v>
      </c>
      <c r="K87">
        <f>K86+E$4*K86*(1-K86/E$5)</f>
        <v>303.781715298953</v>
      </c>
      <c r="M87">
        <f t="shared" si="11"/>
        <v>83</v>
      </c>
      <c r="N87">
        <f t="shared" si="12"/>
        <v>0.387211454395804</v>
      </c>
      <c r="O87">
        <f t="shared" si="13"/>
        <v>3.52643176889904</v>
      </c>
      <c r="P87">
        <f t="shared" si="14"/>
        <v>1.05013384217776</v>
      </c>
      <c r="Q87">
        <f t="shared" si="15"/>
        <v>29.3496098345166</v>
      </c>
      <c r="S87">
        <f t="shared" si="16"/>
        <v>50.0976669158528</v>
      </c>
      <c r="T87">
        <f t="shared" si="17"/>
        <v>123.475588366211</v>
      </c>
      <c r="U87">
        <f t="shared" si="18"/>
        <v>78.138996617467</v>
      </c>
      <c r="V87">
        <f t="shared" si="19"/>
        <v>847.600957757102</v>
      </c>
    </row>
    <row r="88" spans="7:22">
      <c r="G88">
        <f t="shared" si="10"/>
        <v>84</v>
      </c>
      <c r="H88">
        <f>H87+B$4*H87*(1-H87/B$5)</f>
        <v>147.98556895202</v>
      </c>
      <c r="I88">
        <f>I87+C$4*I87*(1-I87/C$5)</f>
        <v>52.9702104637514</v>
      </c>
      <c r="J88">
        <f>J87+D$4*J87*(1-J87/D$5)</f>
        <v>85.6052776082274</v>
      </c>
      <c r="K88">
        <f>K87+E$4*K87*(1-K87/E$5)</f>
        <v>312.945931439304</v>
      </c>
      <c r="M88">
        <f t="shared" si="11"/>
        <v>84</v>
      </c>
      <c r="N88">
        <f t="shared" si="12"/>
        <v>0.337859011947179</v>
      </c>
      <c r="O88">
        <f t="shared" si="13"/>
        <v>3.14986688668853</v>
      </c>
      <c r="P88">
        <f t="shared" si="14"/>
        <v>0.925436327747826</v>
      </c>
      <c r="Q88">
        <f t="shared" si="15"/>
        <v>29.9225198404458</v>
      </c>
      <c r="S88">
        <f t="shared" si="16"/>
        <v>50.0889376401421</v>
      </c>
      <c r="T88">
        <f t="shared" si="17"/>
        <v>123.323188483087</v>
      </c>
      <c r="U88">
        <f t="shared" si="18"/>
        <v>78.1061740555703</v>
      </c>
      <c r="V88">
        <f t="shared" si="19"/>
        <v>842.625606275995</v>
      </c>
    </row>
    <row r="89" spans="7:22">
      <c r="G89">
        <f t="shared" si="10"/>
        <v>85</v>
      </c>
      <c r="H89">
        <f>H88+B$4*H88*(1-H88/B$5)</f>
        <v>151.381045278347</v>
      </c>
      <c r="I89">
        <f>I88+C$4*I88*(1-I88/C$5)</f>
        <v>53.5777945573507</v>
      </c>
      <c r="J89">
        <f>J88+D$4*J88*(1-J88/D$5)</f>
        <v>87.0582334425229</v>
      </c>
      <c r="K89">
        <f>K88+E$4*K88*(1-K88/E$5)</f>
        <v>322.340979739609</v>
      </c>
      <c r="M89">
        <f t="shared" si="11"/>
        <v>85</v>
      </c>
      <c r="N89">
        <f t="shared" si="12"/>
        <v>0.294795509696365</v>
      </c>
      <c r="O89">
        <f t="shared" si="13"/>
        <v>2.81334492340255</v>
      </c>
      <c r="P89">
        <f t="shared" si="14"/>
        <v>0.81553379494262</v>
      </c>
      <c r="Q89">
        <f t="shared" si="15"/>
        <v>30.4768381487511</v>
      </c>
      <c r="S89">
        <f t="shared" si="16"/>
        <v>50.0813222906008</v>
      </c>
      <c r="T89">
        <f t="shared" si="17"/>
        <v>123.187230413369</v>
      </c>
      <c r="U89">
        <f t="shared" si="18"/>
        <v>78.0772611392133</v>
      </c>
      <c r="V89">
        <f t="shared" si="19"/>
        <v>837.582909991623</v>
      </c>
    </row>
    <row r="90" spans="7:22">
      <c r="G90">
        <f t="shared" si="10"/>
        <v>86</v>
      </c>
      <c r="H90">
        <f>H89+B$4*H89*(1-H89/B$5)</f>
        <v>154.847290564895</v>
      </c>
      <c r="I90">
        <f>I89+C$4*I89*(1-I89/C$5)</f>
        <v>54.1920222913426</v>
      </c>
      <c r="J90">
        <f>J89+D$4*J89*(1-J89/D$5)</f>
        <v>88.5343320123668</v>
      </c>
      <c r="K90">
        <f>K89+E$4*K89*(1-K89/E$5)</f>
        <v>331.969900506549</v>
      </c>
      <c r="M90">
        <f t="shared" si="11"/>
        <v>86</v>
      </c>
      <c r="N90">
        <f t="shared" si="12"/>
        <v>0.257219870260826</v>
      </c>
      <c r="O90">
        <f t="shared" si="13"/>
        <v>2.51264204415118</v>
      </c>
      <c r="P90">
        <f t="shared" si="14"/>
        <v>0.718673583731462</v>
      </c>
      <c r="Q90">
        <f t="shared" si="15"/>
        <v>31.0106881832334</v>
      </c>
      <c r="S90">
        <f t="shared" si="16"/>
        <v>50.0746786035819</v>
      </c>
      <c r="T90">
        <f t="shared" si="17"/>
        <v>123.06593155411</v>
      </c>
      <c r="U90">
        <f t="shared" si="18"/>
        <v>78.0517912811831</v>
      </c>
      <c r="V90">
        <f t="shared" si="19"/>
        <v>832.477534234828</v>
      </c>
    </row>
    <row r="91" spans="7:22">
      <c r="G91">
        <f t="shared" si="10"/>
        <v>87</v>
      </c>
      <c r="H91">
        <f>H90+B$4*H90*(1-H90/B$5)</f>
        <v>158.385449448528</v>
      </c>
      <c r="I91">
        <f>I90+C$4*I90*(1-I90/C$5)</f>
        <v>54.8129588060385</v>
      </c>
      <c r="J91">
        <f>J90+D$4*J90*(1-J90/D$5)</f>
        <v>90.0338900532509</v>
      </c>
      <c r="K91">
        <f>K90+E$4*K90*(1-K90/E$5)</f>
        <v>341.835601333605</v>
      </c>
      <c r="M91">
        <f t="shared" si="11"/>
        <v>87</v>
      </c>
      <c r="N91">
        <f t="shared" si="12"/>
        <v>0.224432980771897</v>
      </c>
      <c r="O91">
        <f t="shared" si="13"/>
        <v>2.24397295936743</v>
      </c>
      <c r="P91">
        <f t="shared" si="14"/>
        <v>0.633310050394426</v>
      </c>
      <c r="Q91">
        <f t="shared" si="15"/>
        <v>31.522225202489</v>
      </c>
      <c r="S91">
        <f t="shared" si="16"/>
        <v>50.0688825125317</v>
      </c>
      <c r="T91">
        <f t="shared" si="17"/>
        <v>122.957704332271</v>
      </c>
      <c r="U91">
        <f t="shared" si="18"/>
        <v>78.0293537769604</v>
      </c>
      <c r="V91">
        <f t="shared" si="19"/>
        <v>827.314393988087</v>
      </c>
    </row>
    <row r="92" spans="7:22">
      <c r="G92">
        <f t="shared" si="10"/>
        <v>88</v>
      </c>
      <c r="H92">
        <f>H91+B$4*H91*(1-H91/B$5)</f>
        <v>161.996669704227</v>
      </c>
      <c r="I92">
        <f>I91+C$4*I91*(1-I91/C$5)</f>
        <v>55.4406697071802</v>
      </c>
      <c r="J92">
        <f>J91+D$4*J91*(1-J91/D$5)</f>
        <v>91.5572268579119</v>
      </c>
      <c r="K92">
        <f>K91+E$4*K91*(1-K91/E$5)</f>
        <v>351.940844997613</v>
      </c>
      <c r="M92">
        <f t="shared" si="11"/>
        <v>88</v>
      </c>
      <c r="N92">
        <f t="shared" si="12"/>
        <v>0.195824732501905</v>
      </c>
      <c r="O92">
        <f t="shared" si="13"/>
        <v>2.00394683274594</v>
      </c>
      <c r="P92">
        <f t="shared" si="14"/>
        <v>0.558080252424355</v>
      </c>
      <c r="Q92">
        <f t="shared" si="15"/>
        <v>32.0096495502263</v>
      </c>
      <c r="S92">
        <f t="shared" si="16"/>
        <v>50.0638258136859</v>
      </c>
      <c r="T92">
        <f t="shared" si="17"/>
        <v>122.861134514988</v>
      </c>
      <c r="U92">
        <f t="shared" si="18"/>
        <v>78.0095870673713</v>
      </c>
      <c r="V92">
        <f t="shared" si="19"/>
        <v>822.098635859977</v>
      </c>
    </row>
    <row r="93" spans="7:22">
      <c r="G93">
        <f t="shared" si="10"/>
        <v>89</v>
      </c>
      <c r="H93">
        <f>H92+B$4*H92*(1-H92/B$5)</f>
        <v>165.682101433009</v>
      </c>
      <c r="I93">
        <f>I92+C$4*I92*(1-I92/C$5)</f>
        <v>56.0752210650906</v>
      </c>
      <c r="J93">
        <f>J92+D$4*J92*(1-J92/D$5)</f>
        <v>93.1046642318754</v>
      </c>
      <c r="K93">
        <f>K92+E$4*K92*(1-K92/E$5)</f>
        <v>362.288237052886</v>
      </c>
      <c r="M93">
        <f t="shared" si="11"/>
        <v>89</v>
      </c>
      <c r="N93">
        <f t="shared" si="12"/>
        <v>0.170862703510713</v>
      </c>
      <c r="O93">
        <f t="shared" si="13"/>
        <v>1.78952732131666</v>
      </c>
      <c r="P93">
        <f t="shared" si="14"/>
        <v>0.491782458577533</v>
      </c>
      <c r="Q93">
        <f t="shared" si="15"/>
        <v>32.4712199636118</v>
      </c>
      <c r="S93">
        <f t="shared" si="16"/>
        <v>50.0594141328018</v>
      </c>
      <c r="T93">
        <f t="shared" si="17"/>
        <v>122.774962001505</v>
      </c>
      <c r="U93">
        <f t="shared" si="18"/>
        <v>77.9921728233545</v>
      </c>
      <c r="V93">
        <f t="shared" si="19"/>
        <v>816.835618014057</v>
      </c>
    </row>
    <row r="94" spans="7:22">
      <c r="G94">
        <f t="shared" si="10"/>
        <v>90</v>
      </c>
      <c r="H94">
        <f>H93+B$4*H93*(1-H93/B$5)</f>
        <v>169.442896208623</v>
      </c>
      <c r="I94">
        <f>I93+C$4*I93*(1-I93/C$5)</f>
        <v>56.7166794136967</v>
      </c>
      <c r="J94">
        <f>J93+D$4*J93*(1-J93/D$5)</f>
        <v>94.6765264460284</v>
      </c>
      <c r="K94">
        <f>K93+E$4*K93*(1-K93/E$5)</f>
        <v>372.880213152127</v>
      </c>
      <c r="M94">
        <f t="shared" si="11"/>
        <v>90</v>
      </c>
      <c r="N94">
        <f t="shared" si="12"/>
        <v>0.149082277059808</v>
      </c>
      <c r="O94">
        <f t="shared" si="13"/>
        <v>1.59799642522552</v>
      </c>
      <c r="P94">
        <f t="shared" si="14"/>
        <v>0.433357162791252</v>
      </c>
      <c r="Q94">
        <f t="shared" si="15"/>
        <v>32.9052667743995</v>
      </c>
      <c r="S94">
        <f t="shared" si="16"/>
        <v>50.0555651537261</v>
      </c>
      <c r="T94">
        <f t="shared" si="17"/>
        <v>122.698063799399</v>
      </c>
      <c r="U94">
        <f t="shared" si="18"/>
        <v>77.9768307503542</v>
      </c>
      <c r="V94">
        <f t="shared" si="19"/>
        <v>811.530888208728</v>
      </c>
    </row>
    <row r="95" spans="7:22">
      <c r="G95">
        <f t="shared" si="10"/>
        <v>91</v>
      </c>
      <c r="H95">
        <f>H94+B$4*H94*(1-H94/B$5)</f>
        <v>173.280206182233</v>
      </c>
      <c r="I95">
        <f>I94+C$4*I94*(1-I94/C$5)</f>
        <v>57.3651117494239</v>
      </c>
      <c r="J95">
        <f>J94+D$4*J94*(1-J94/D$5)</f>
        <v>96.2731401861383</v>
      </c>
      <c r="K95">
        <f>K94+E$4*K94*(1-K94/E$5)</f>
        <v>383.719026127173</v>
      </c>
      <c r="M95">
        <f t="shared" si="11"/>
        <v>91</v>
      </c>
      <c r="N95">
        <f t="shared" si="12"/>
        <v>0.130078014435522</v>
      </c>
      <c r="O95">
        <f t="shared" si="13"/>
        <v>1.42692183500843</v>
      </c>
      <c r="P95">
        <f t="shared" si="14"/>
        <v>0.381870315627535</v>
      </c>
      <c r="Q95">
        <f t="shared" si="15"/>
        <v>33.3102048326743</v>
      </c>
      <c r="S95">
        <f t="shared" si="16"/>
        <v>50.0522070747914</v>
      </c>
      <c r="T95">
        <f t="shared" si="17"/>
        <v>122.629438925832</v>
      </c>
      <c r="U95">
        <f t="shared" si="18"/>
        <v>77.9633140230992</v>
      </c>
      <c r="V95">
        <f t="shared" si="19"/>
        <v>806.190160134293</v>
      </c>
    </row>
    <row r="96" spans="7:22">
      <c r="G96">
        <f t="shared" si="10"/>
        <v>92</v>
      </c>
      <c r="H96">
        <f>H95+B$4*H95*(1-H95/B$5)</f>
        <v>177.195183144365</v>
      </c>
      <c r="I96">
        <f>I95+C$4*I95*(1-I95/C$5)</f>
        <v>58.0205855299567</v>
      </c>
      <c r="J96">
        <f>J95+D$4*J95*(1-J95/D$5)</f>
        <v>97.8948344992332</v>
      </c>
      <c r="K96">
        <f>K95+E$4*K95*(1-K95/E$5)</f>
        <v>394.806732866433</v>
      </c>
      <c r="M96">
        <f t="shared" si="11"/>
        <v>92</v>
      </c>
      <c r="N96">
        <f t="shared" si="12"/>
        <v>0.113496123541676</v>
      </c>
      <c r="O96">
        <f t="shared" si="13"/>
        <v>1.2741274781635</v>
      </c>
      <c r="P96">
        <f t="shared" si="14"/>
        <v>0.336498518416753</v>
      </c>
      <c r="Q96">
        <f t="shared" si="15"/>
        <v>33.6845459814051</v>
      </c>
      <c r="S96">
        <f t="shared" si="16"/>
        <v>50.0492772635199</v>
      </c>
      <c r="T96">
        <f t="shared" si="17"/>
        <v>122.568195007426</v>
      </c>
      <c r="U96">
        <f t="shared" si="18"/>
        <v>77.9514052729658</v>
      </c>
      <c r="V96">
        <f t="shared" si="19"/>
        <v>800.819288260661</v>
      </c>
    </row>
    <row r="97" spans="7:22">
      <c r="G97">
        <f t="shared" si="10"/>
        <v>93</v>
      </c>
      <c r="H97">
        <f>H96+B$4*H96*(1-H96/B$5)</f>
        <v>181.188977543396</v>
      </c>
      <c r="I97">
        <f>I96+C$4*I96*(1-I96/C$5)</f>
        <v>58.6831686728638</v>
      </c>
      <c r="J97">
        <f>J96+D$4*J96*(1-J96/D$5)</f>
        <v>99.5419407367598</v>
      </c>
      <c r="K97">
        <f>K96+E$4*K96*(1-K96/E$5)</f>
        <v>406.145181029902</v>
      </c>
      <c r="M97">
        <f t="shared" si="11"/>
        <v>93</v>
      </c>
      <c r="N97">
        <f t="shared" si="12"/>
        <v>0.0990278845403866</v>
      </c>
      <c r="O97">
        <f t="shared" si="13"/>
        <v>1.13766698326173</v>
      </c>
      <c r="P97">
        <f t="shared" si="14"/>
        <v>0.296515953607383</v>
      </c>
      <c r="Q97">
        <f t="shared" si="15"/>
        <v>34.0269109118368</v>
      </c>
      <c r="S97">
        <f t="shared" si="16"/>
        <v>50.04672108399</v>
      </c>
      <c r="T97">
        <f t="shared" si="17"/>
        <v>122.513536380603</v>
      </c>
      <c r="U97">
        <f t="shared" si="18"/>
        <v>77.9409130600127</v>
      </c>
      <c r="V97">
        <f t="shared" si="19"/>
        <v>795.424241433019</v>
      </c>
    </row>
    <row r="98" spans="7:22">
      <c r="G98">
        <f t="shared" si="10"/>
        <v>94</v>
      </c>
      <c r="H98">
        <f>H97+B$4*H97*(1-H97/B$5)</f>
        <v>185.262737459992</v>
      </c>
      <c r="I98">
        <f>I97+C$4*I97*(1-I97/C$5)</f>
        <v>59.3529295540833</v>
      </c>
      <c r="J98">
        <f>J97+D$4*J97*(1-J97/D$5)</f>
        <v>101.214792494434</v>
      </c>
      <c r="K98">
        <f>K97+E$4*K97*(1-K97/E$5)</f>
        <v>417.735995646593</v>
      </c>
      <c r="M98">
        <f t="shared" si="11"/>
        <v>94</v>
      </c>
      <c r="N98">
        <f t="shared" si="12"/>
        <v>0.0864039112720373</v>
      </c>
      <c r="O98">
        <f t="shared" si="13"/>
        <v>1.01579979764246</v>
      </c>
      <c r="P98">
        <f t="shared" si="14"/>
        <v>0.261282850230683</v>
      </c>
      <c r="Q98">
        <f t="shared" si="15"/>
        <v>34.3360402351326</v>
      </c>
      <c r="S98">
        <f t="shared" si="16"/>
        <v>50.0444908745773</v>
      </c>
      <c r="T98">
        <f t="shared" si="17"/>
        <v>122.464753518733</v>
      </c>
      <c r="U98">
        <f t="shared" si="18"/>
        <v>77.9316687703483</v>
      </c>
      <c r="V98">
        <f t="shared" si="19"/>
        <v>790.011075472947</v>
      </c>
    </row>
    <row r="99" spans="7:22">
      <c r="G99">
        <f t="shared" si="10"/>
        <v>95</v>
      </c>
      <c r="H99">
        <f>H98+B$4*H98*(1-H98/B$5)</f>
        <v>189.417607536892</v>
      </c>
      <c r="I99">
        <f>I98+C$4*I98*(1-I98/C$5)</f>
        <v>60.0299370062658</v>
      </c>
      <c r="J99">
        <f>J98+D$4*J98*(1-J98/D$5)</f>
        <v>102.913725548697</v>
      </c>
      <c r="K99">
        <f>K98+E$4*K98*(1-K98/E$5)</f>
        <v>429.580565643287</v>
      </c>
      <c r="M99">
        <f t="shared" si="11"/>
        <v>95</v>
      </c>
      <c r="N99">
        <f t="shared" si="12"/>
        <v>0.0753891424683632</v>
      </c>
      <c r="O99">
        <f t="shared" si="13"/>
        <v>0.906969713141027</v>
      </c>
      <c r="P99">
        <f t="shared" si="14"/>
        <v>0.230235306111901</v>
      </c>
      <c r="Q99">
        <f t="shared" si="15"/>
        <v>34.6108046145906</v>
      </c>
      <c r="S99">
        <f t="shared" si="16"/>
        <v>50.0425450566901</v>
      </c>
      <c r="T99">
        <f t="shared" si="17"/>
        <v>122.421213633588</v>
      </c>
      <c r="U99">
        <f t="shared" si="18"/>
        <v>77.9235238869325</v>
      </c>
      <c r="V99">
        <f t="shared" si="19"/>
        <v>784.58590505822</v>
      </c>
    </row>
    <row r="100" spans="7:22">
      <c r="G100">
        <f t="shared" si="10"/>
        <v>96</v>
      </c>
      <c r="H100">
        <f>H99+B$4*H99*(1-H99/B$5)</f>
        <v>193.654727863578</v>
      </c>
      <c r="I100">
        <f>I99+C$4*I99*(1-I99/C$5)</f>
        <v>60.7142603169712</v>
      </c>
      <c r="J100">
        <f>J99+D$4*J99*(1-J99/D$5)</f>
        <v>104.639077789698</v>
      </c>
      <c r="K100">
        <f>K99+E$4*K99*(1-K99/E$5)</f>
        <v>441.680030357509</v>
      </c>
      <c r="M100">
        <f t="shared" si="11"/>
        <v>96</v>
      </c>
      <c r="N100">
        <f t="shared" si="12"/>
        <v>0.06577847014955</v>
      </c>
      <c r="O100">
        <f t="shared" si="13"/>
        <v>0.809785572723944</v>
      </c>
      <c r="P100">
        <f t="shared" si="14"/>
        <v>0.202876308745286</v>
      </c>
      <c r="Q100">
        <f t="shared" si="15"/>
        <v>34.8502138150684</v>
      </c>
      <c r="S100">
        <f t="shared" si="16"/>
        <v>50.0408473576387</v>
      </c>
      <c r="T100">
        <f t="shared" si="17"/>
        <v>122.382352317034</v>
      </c>
      <c r="U100">
        <f t="shared" si="18"/>
        <v>77.9163475883823</v>
      </c>
      <c r="V100">
        <f t="shared" si="19"/>
        <v>779.154875165553</v>
      </c>
    </row>
    <row r="101" spans="7:22">
      <c r="G101">
        <f t="shared" si="10"/>
        <v>97</v>
      </c>
      <c r="H101">
        <f>H100+B$4*H100*(1-H100/B$5)</f>
        <v>197.975232815391</v>
      </c>
      <c r="I101">
        <f>I100+C$4*I100*(1-I100/C$5)</f>
        <v>61.4059692267165</v>
      </c>
      <c r="J101">
        <f>J100+D$4*J100*(1-J100/D$5)</f>
        <v>106.391189150705</v>
      </c>
      <c r="K101">
        <f>K100+E$4*K100*(1-K100/E$5)</f>
        <v>454.035266091576</v>
      </c>
      <c r="M101">
        <f t="shared" si="11"/>
        <v>97</v>
      </c>
      <c r="N101">
        <f t="shared" si="12"/>
        <v>0.0573929242999952</v>
      </c>
      <c r="O101">
        <f t="shared" si="13"/>
        <v>0.723003948957176</v>
      </c>
      <c r="P101">
        <f t="shared" si="14"/>
        <v>0.178767814829351</v>
      </c>
      <c r="Q101">
        <f t="shared" si="15"/>
        <v>35.0534245417226</v>
      </c>
      <c r="S101">
        <f t="shared" si="16"/>
        <v>50.0393661329658</v>
      </c>
      <c r="T101">
        <f t="shared" si="17"/>
        <v>122.347666104892</v>
      </c>
      <c r="U101">
        <f t="shared" si="18"/>
        <v>77.9100246359864</v>
      </c>
      <c r="V101">
        <f t="shared" si="19"/>
        <v>773.724132366639</v>
      </c>
    </row>
    <row r="102" spans="7:22">
      <c r="G102">
        <f t="shared" si="10"/>
        <v>98</v>
      </c>
      <c r="H102">
        <f>H101+B$4*H101*(1-H101/B$5)</f>
        <v>202.380249846772</v>
      </c>
      <c r="I102">
        <f>I101+C$4*I101*(1-I101/C$5)</f>
        <v>62.1051339268704</v>
      </c>
      <c r="J102">
        <f>J101+D$4*J101*(1-J101/D$5)</f>
        <v>108.17040153387</v>
      </c>
      <c r="K102">
        <f>K101+E$4*K101*(1-K101/E$5)</f>
        <v>466.646872768454</v>
      </c>
      <c r="M102">
        <f t="shared" si="11"/>
        <v>98</v>
      </c>
      <c r="N102">
        <f t="shared" si="12"/>
        <v>0.050076343153616</v>
      </c>
      <c r="O102">
        <f t="shared" si="13"/>
        <v>0.645513602622435</v>
      </c>
      <c r="P102">
        <f t="shared" si="14"/>
        <v>0.157523764547939</v>
      </c>
      <c r="Q102">
        <f t="shared" si="15"/>
        <v>35.219746958469</v>
      </c>
      <c r="S102">
        <f t="shared" si="16"/>
        <v>50.0380737754672</v>
      </c>
      <c r="T102">
        <f t="shared" si="17"/>
        <v>122.316705858883</v>
      </c>
      <c r="U102">
        <f t="shared" si="18"/>
        <v>77.9044535140435</v>
      </c>
      <c r="V102">
        <f t="shared" si="19"/>
        <v>768.299796268634</v>
      </c>
    </row>
    <row r="103" spans="7:22">
      <c r="G103">
        <f t="shared" si="10"/>
        <v>99</v>
      </c>
      <c r="H103">
        <f>H102+B$4*H102*(1-H102/B$5)</f>
        <v>206.870898238385</v>
      </c>
      <c r="I103">
        <f>I102+C$4*I102*(1-I102/C$5)</f>
        <v>62.8118250573921</v>
      </c>
      <c r="J103">
        <f>J102+D$4*J102*(1-J102/D$5)</f>
        <v>109.977058732264</v>
      </c>
      <c r="K103">
        <f>K102+E$4*K102*(1-K102/E$5)</f>
        <v>479.515160753868</v>
      </c>
      <c r="M103">
        <f t="shared" si="11"/>
        <v>99</v>
      </c>
      <c r="N103">
        <f t="shared" si="12"/>
        <v>0.0436924673694804</v>
      </c>
      <c r="O103">
        <f t="shared" si="13"/>
        <v>0.576321546340027</v>
      </c>
      <c r="P103">
        <f t="shared" si="14"/>
        <v>0.138803920982781</v>
      </c>
      <c r="Q103">
        <f t="shared" si="15"/>
        <v>35.3486497972635</v>
      </c>
      <c r="S103">
        <f t="shared" si="16"/>
        <v>50.0369461997783</v>
      </c>
      <c r="T103">
        <f t="shared" si="17"/>
        <v>122.289070874772</v>
      </c>
      <c r="U103">
        <f t="shared" si="18"/>
        <v>77.8995447929264</v>
      </c>
      <c r="V103">
        <f t="shared" si="19"/>
        <v>762.887931386069</v>
      </c>
    </row>
    <row r="104" spans="7:22">
      <c r="G104">
        <f t="shared" si="10"/>
        <v>100</v>
      </c>
      <c r="H104">
        <f>H103+B$4*H103*(1-H103/B$5)</f>
        <v>211.448287797984</v>
      </c>
      <c r="I104">
        <f>I103+C$4*I103*(1-I103/C$5)</f>
        <v>63.5261137044104</v>
      </c>
      <c r="J104">
        <f>J103+D$4*J103*(1-J103/D$5)</f>
        <v>111.811506348076</v>
      </c>
      <c r="K104">
        <f>K103+E$4*K103*(1-K103/E$5)</f>
        <v>492.640137912641</v>
      </c>
      <c r="M104">
        <f t="shared" si="11"/>
        <v>100</v>
      </c>
      <c r="N104">
        <f t="shared" si="12"/>
        <v>0.0381224042016544</v>
      </c>
      <c r="O104">
        <f t="shared" si="13"/>
        <v>0.514540553638485</v>
      </c>
      <c r="P104">
        <f t="shared" si="14"/>
        <v>0.122308437739377</v>
      </c>
      <c r="Q104">
        <f t="shared" si="15"/>
        <v>35.439763991899</v>
      </c>
      <c r="S104">
        <f t="shared" si="16"/>
        <v>50.0359623928407</v>
      </c>
      <c r="T104">
        <f t="shared" si="17"/>
        <v>122.264403635523</v>
      </c>
      <c r="U104">
        <f t="shared" si="18"/>
        <v>77.8952196880224</v>
      </c>
      <c r="V104">
        <f t="shared" si="19"/>
        <v>757.494519721844</v>
      </c>
    </row>
    <row r="105" spans="7:22">
      <c r="G105">
        <f t="shared" si="10"/>
        <v>101</v>
      </c>
      <c r="H105">
        <f>H104+B$4*H104*(1-H104/B$5)</f>
        <v>216.113517514979</v>
      </c>
      <c r="I105">
        <f>I104+C$4*I104*(1-I104/C$5)</f>
        <v>64.2480713976394</v>
      </c>
      <c r="J105">
        <f>J104+D$4*J104*(1-J104/D$5)</f>
        <v>113.674091706919</v>
      </c>
      <c r="K105">
        <f>K104+E$4*K104*(1-K104/E$5)</f>
        <v>506.021496970542</v>
      </c>
      <c r="M105">
        <f t="shared" si="11"/>
        <v>101</v>
      </c>
      <c r="N105">
        <f t="shared" si="12"/>
        <v>0.0332624146037376</v>
      </c>
      <c r="O105">
        <f t="shared" si="13"/>
        <v>0.459377968470627</v>
      </c>
      <c r="P105">
        <f t="shared" si="14"/>
        <v>0.107773069129433</v>
      </c>
      <c r="Q105">
        <f t="shared" si="15"/>
        <v>35.492884793934</v>
      </c>
      <c r="S105">
        <f t="shared" si="16"/>
        <v>50.0351040218084</v>
      </c>
      <c r="T105">
        <f t="shared" si="17"/>
        <v>122.242385137645</v>
      </c>
      <c r="U105">
        <f t="shared" si="18"/>
        <v>77.8914087909714</v>
      </c>
      <c r="V105">
        <f t="shared" si="19"/>
        <v>752.125434321024</v>
      </c>
    </row>
    <row r="106" spans="7:22">
      <c r="G106">
        <f t="shared" si="10"/>
        <v>102</v>
      </c>
      <c r="H106">
        <f>H105+B$4*H105*(1-H105/B$5)</f>
        <v>220.867674168789</v>
      </c>
      <c r="I106">
        <f>I105+C$4*I105*(1-I105/C$5)</f>
        <v>64.9777701076279</v>
      </c>
      <c r="J106">
        <f>J105+D$4*J105*(1-J105/D$5)</f>
        <v>115.565163768139</v>
      </c>
      <c r="K106">
        <f>K105+E$4*K105*(1-K105/E$5)</f>
        <v>519.658603255933</v>
      </c>
      <c r="M106">
        <f t="shared" si="11"/>
        <v>102</v>
      </c>
      <c r="N106">
        <f t="shared" si="12"/>
        <v>0.0290219821817985</v>
      </c>
      <c r="O106">
        <f t="shared" si="13"/>
        <v>0.410125683690971</v>
      </c>
      <c r="P106">
        <f t="shared" si="14"/>
        <v>0.0949649472337056</v>
      </c>
      <c r="Q106">
        <f t="shared" si="15"/>
        <v>35.5079723530326</v>
      </c>
      <c r="S106">
        <f t="shared" si="16"/>
        <v>50.0343550920397</v>
      </c>
      <c r="T106">
        <f t="shared" si="17"/>
        <v>122.222730727154</v>
      </c>
      <c r="U106">
        <f t="shared" si="18"/>
        <v>77.8880509524977</v>
      </c>
      <c r="V106">
        <f t="shared" si="19"/>
        <v>746.786414042835</v>
      </c>
    </row>
    <row r="107" spans="7:22">
      <c r="G107">
        <f t="shared" si="10"/>
        <v>103</v>
      </c>
      <c r="H107">
        <f>H106+B$4*H106*(1-H106/B$5)</f>
        <v>225.711830891165</v>
      </c>
      <c r="I107">
        <f>I106+C$4*I106*(1-I106/C$5)</f>
        <v>65.7152822428379</v>
      </c>
      <c r="J107">
        <f>J106+D$4*J106*(1-J106/D$5)</f>
        <v>117.485073031045</v>
      </c>
      <c r="K107">
        <f>K106+E$4*K106*(1-K106/E$5)</f>
        <v>533.550482898151</v>
      </c>
      <c r="M107">
        <f t="shared" si="11"/>
        <v>103</v>
      </c>
      <c r="N107">
        <f t="shared" si="12"/>
        <v>0.0253221281274102</v>
      </c>
      <c r="O107">
        <f t="shared" si="13"/>
        <v>0.366151169488043</v>
      </c>
      <c r="P107">
        <f t="shared" si="14"/>
        <v>0.0836788590081858</v>
      </c>
      <c r="Q107">
        <f t="shared" si="15"/>
        <v>35.4851507687684</v>
      </c>
      <c r="S107">
        <f t="shared" si="16"/>
        <v>50.0337016487669</v>
      </c>
      <c r="T107">
        <f t="shared" si="17"/>
        <v>122.205186388803</v>
      </c>
      <c r="U107">
        <f t="shared" si="18"/>
        <v>77.8850922986382</v>
      </c>
      <c r="V107">
        <f t="shared" si="19"/>
        <v>741.483039774145</v>
      </c>
    </row>
    <row r="108" spans="7:22">
      <c r="G108">
        <f t="shared" si="10"/>
        <v>104</v>
      </c>
      <c r="H108">
        <f>H107+B$4*H107*(1-H107/B$5)</f>
        <v>230.64704568283</v>
      </c>
      <c r="I108">
        <f>I107+C$4*I107*(1-I107/C$5)</f>
        <v>66.4606806465494</v>
      </c>
      <c r="J108">
        <f>J107+D$4*J107*(1-J107/D$5)</f>
        <v>119.434171436982</v>
      </c>
      <c r="K108">
        <f>K107+E$4*K107*(1-K107/E$5)</f>
        <v>547.695811561846</v>
      </c>
      <c r="M108">
        <f t="shared" si="11"/>
        <v>104</v>
      </c>
      <c r="N108">
        <f t="shared" si="12"/>
        <v>0.0220939408200261</v>
      </c>
      <c r="O108">
        <f t="shared" si="13"/>
        <v>0.326889444234654</v>
      </c>
      <c r="P108">
        <f t="shared" si="14"/>
        <v>0.0737339644198768</v>
      </c>
      <c r="Q108">
        <f t="shared" si="15"/>
        <v>35.4247056452271</v>
      </c>
      <c r="S108">
        <f t="shared" si="16"/>
        <v>50.0331315168551</v>
      </c>
      <c r="T108">
        <f t="shared" si="17"/>
        <v>122.189525438634</v>
      </c>
      <c r="U108">
        <f t="shared" si="18"/>
        <v>77.8824853643753</v>
      </c>
      <c r="V108">
        <f t="shared" si="19"/>
        <v>736.220712282371</v>
      </c>
    </row>
    <row r="109" spans="7:22">
      <c r="G109">
        <f t="shared" si="10"/>
        <v>105</v>
      </c>
      <c r="H109">
        <f>H108+B$4*H108*(1-H108/B$5)</f>
        <v>235.67435988487</v>
      </c>
      <c r="I109">
        <f>I108+C$4*I108*(1-I108/C$5)</f>
        <v>67.2140385935879</v>
      </c>
      <c r="J109">
        <f>J108+D$4*J108*(1-J108/D$5)</f>
        <v>121.412812267166</v>
      </c>
      <c r="K109">
        <f>K108+E$4*K108*(1-K108/E$5)</f>
        <v>562.092903798291</v>
      </c>
      <c r="M109">
        <f t="shared" si="11"/>
        <v>105</v>
      </c>
      <c r="N109">
        <f t="shared" si="12"/>
        <v>0.0192772927680705</v>
      </c>
      <c r="O109">
        <f t="shared" si="13"/>
        <v>0.291835890721132</v>
      </c>
      <c r="P109">
        <f t="shared" si="14"/>
        <v>0.0649709035188107</v>
      </c>
      <c r="Q109">
        <f t="shared" si="15"/>
        <v>35.3270802029476</v>
      </c>
      <c r="S109">
        <f t="shared" si="16"/>
        <v>50.0326340737841</v>
      </c>
      <c r="T109">
        <f t="shared" si="17"/>
        <v>122.175545575512</v>
      </c>
      <c r="U109">
        <f t="shared" si="18"/>
        <v>77.8801883306134</v>
      </c>
      <c r="V109">
        <f t="shared" si="19"/>
        <v>731.004631877866</v>
      </c>
    </row>
    <row r="110" spans="7:22">
      <c r="G110">
        <f t="shared" si="10"/>
        <v>106</v>
      </c>
      <c r="H110">
        <f>H109+B$4*H109*(1-H109/B$5)</f>
        <v>240.794796605503</v>
      </c>
      <c r="I110">
        <f>I109+C$4*I109*(1-I109/C$5)</f>
        <v>67.9754297868704</v>
      </c>
      <c r="J110">
        <f>J109+D$4*J109*(1-J109/D$5)</f>
        <v>123.421350036183</v>
      </c>
      <c r="K110">
        <f>K109+E$4*K109*(1-K109/E$5)</f>
        <v>576.739703095997</v>
      </c>
      <c r="M110">
        <f t="shared" si="11"/>
        <v>106</v>
      </c>
      <c r="N110">
        <f t="shared" si="12"/>
        <v>0.0168197210336091</v>
      </c>
      <c r="O110">
        <f t="shared" si="13"/>
        <v>0.260539830321542</v>
      </c>
      <c r="P110">
        <f t="shared" si="14"/>
        <v>0.0572492464718111</v>
      </c>
      <c r="Q110">
        <f t="shared" si="15"/>
        <v>35.1928700243205</v>
      </c>
      <c r="S110">
        <f t="shared" si="16"/>
        <v>50.0322000516033</v>
      </c>
      <c r="T110">
        <f t="shared" si="17"/>
        <v>122.163066252303</v>
      </c>
      <c r="U110">
        <f t="shared" si="18"/>
        <v>77.8781643521326</v>
      </c>
      <c r="V110">
        <f t="shared" si="19"/>
        <v>725.839780026051</v>
      </c>
    </row>
    <row r="111" spans="7:22">
      <c r="G111">
        <f t="shared" si="10"/>
        <v>107</v>
      </c>
      <c r="H111">
        <f>H110+B$4*H110*(1-H110/B$5)</f>
        <v>246.00935910297</v>
      </c>
      <c r="I111">
        <f>I110+C$4*I110*(1-I110/C$5)</f>
        <v>68.7449283537657</v>
      </c>
      <c r="J111">
        <f>J110+D$4*J110*(1-J110/D$5)</f>
        <v>125.460140381098</v>
      </c>
      <c r="K111">
        <f>K110+E$4*K110*(1-K110/E$5)</f>
        <v>591.633772713696</v>
      </c>
      <c r="M111">
        <f t="shared" si="11"/>
        <v>107</v>
      </c>
      <c r="N111">
        <f t="shared" si="12"/>
        <v>0.0146754503199723</v>
      </c>
      <c r="O111">
        <f t="shared" si="13"/>
        <v>0.232598776366837</v>
      </c>
      <c r="P111">
        <f t="shared" si="14"/>
        <v>0.0504452459913464</v>
      </c>
      <c r="Q111">
        <f t="shared" si="15"/>
        <v>35.0228165280601</v>
      </c>
      <c r="S111">
        <f t="shared" si="16"/>
        <v>50.0318213641619</v>
      </c>
      <c r="T111">
        <f t="shared" si="17"/>
        <v>122.15192633171</v>
      </c>
      <c r="U111">
        <f t="shared" si="18"/>
        <v>77.8763809656423</v>
      </c>
      <c r="V111">
        <f t="shared" si="19"/>
        <v>720.730903018664</v>
      </c>
    </row>
    <row r="112" spans="7:22">
      <c r="G112">
        <f t="shared" si="10"/>
        <v>108</v>
      </c>
      <c r="H112">
        <f>H111+B$4*H111*(1-H111/B$5)</f>
        <v>251.319029125458</v>
      </c>
      <c r="I112">
        <f>I111+C$4*I111*(1-I111/C$5)</f>
        <v>69.5226088422673</v>
      </c>
      <c r="J112">
        <f>J111+D$4*J111*(1-J111/D$5)</f>
        <v>127.529539946064</v>
      </c>
      <c r="K112">
        <f>K111+E$4*K111*(1-K111/E$5)</f>
        <v>606.772287378885</v>
      </c>
      <c r="M112">
        <f t="shared" si="11"/>
        <v>108</v>
      </c>
      <c r="N112">
        <f t="shared" si="12"/>
        <v>0.0128045405509578</v>
      </c>
      <c r="O112">
        <f t="shared" si="13"/>
        <v>0.207653295920274</v>
      </c>
      <c r="P112">
        <f t="shared" si="14"/>
        <v>0.0444498563705355</v>
      </c>
      <c r="Q112">
        <f t="shared" si="15"/>
        <v>34.8177992853562</v>
      </c>
      <c r="S112">
        <f t="shared" si="16"/>
        <v>50.031490956383</v>
      </c>
      <c r="T112">
        <f t="shared" si="17"/>
        <v>122.141981995701</v>
      </c>
      <c r="U112">
        <f t="shared" si="18"/>
        <v>77.8748095683644</v>
      </c>
      <c r="V112">
        <f t="shared" si="19"/>
        <v>715.682497782158</v>
      </c>
    </row>
    <row r="113" spans="7:22">
      <c r="G113">
        <f t="shared" si="10"/>
        <v>109</v>
      </c>
      <c r="H113">
        <f>H112+B$4*H112*(1-H112/B$5)</f>
        <v>256.724765209142</v>
      </c>
      <c r="I113">
        <f>I112+C$4*I112*(1-I112/C$5)</f>
        <v>70.3085462169721</v>
      </c>
      <c r="J113">
        <f>J112+D$4*J112*(1-J112/D$5)</f>
        <v>129.629906262387</v>
      </c>
      <c r="K113">
        <f>K112+E$4*K112*(1-K112/E$5)</f>
        <v>622.152025934607</v>
      </c>
      <c r="M113">
        <f t="shared" si="11"/>
        <v>109</v>
      </c>
      <c r="N113">
        <f t="shared" si="12"/>
        <v>0.0111721430829633</v>
      </c>
      <c r="O113">
        <f t="shared" si="13"/>
        <v>0.185382416328308</v>
      </c>
      <c r="P113">
        <f t="shared" si="14"/>
        <v>0.0391669875550338</v>
      </c>
      <c r="Q113">
        <f t="shared" si="15"/>
        <v>34.5788273045171</v>
      </c>
      <c r="S113">
        <f t="shared" si="16"/>
        <v>50.0312026727683</v>
      </c>
      <c r="T113">
        <f t="shared" si="17"/>
        <v>122.133104880905</v>
      </c>
      <c r="U113">
        <f t="shared" si="18"/>
        <v>77.8734249587243</v>
      </c>
      <c r="V113">
        <f t="shared" si="19"/>
        <v>710.698799870194</v>
      </c>
    </row>
    <row r="114" spans="7:22">
      <c r="G114">
        <f t="shared" si="10"/>
        <v>110</v>
      </c>
      <c r="H114">
        <f>H113+B$4*H113*(1-H113/B$5)</f>
        <v>262.227500935597</v>
      </c>
      <c r="I114">
        <f>I113+C$4*I113*(1-I113/C$5)</f>
        <v>71.1028158548644</v>
      </c>
      <c r="J114">
        <f>J113+D$4*J113*(1-J113/D$5)</f>
        <v>131.761597623939</v>
      </c>
      <c r="K114">
        <f>K113+E$4*K113*(1-K113/E$5)</f>
        <v>637.769365015905</v>
      </c>
      <c r="M114">
        <f t="shared" si="11"/>
        <v>110</v>
      </c>
      <c r="N114">
        <f t="shared" si="12"/>
        <v>0.00974785171021158</v>
      </c>
      <c r="O114">
        <f t="shared" si="13"/>
        <v>0.165499519412837</v>
      </c>
      <c r="P114">
        <f t="shared" si="14"/>
        <v>0.0345119664082692</v>
      </c>
      <c r="Q114">
        <f t="shared" si="15"/>
        <v>34.3070294220873</v>
      </c>
      <c r="S114">
        <f t="shared" si="16"/>
        <v>50.0309511426786</v>
      </c>
      <c r="T114">
        <f t="shared" si="17"/>
        <v>122.125180415372</v>
      </c>
      <c r="U114">
        <f t="shared" si="18"/>
        <v>77.8722049317378</v>
      </c>
      <c r="V114">
        <f t="shared" si="19"/>
        <v>705.783773656946</v>
      </c>
    </row>
    <row r="115" spans="7:22">
      <c r="G115">
        <f t="shared" si="10"/>
        <v>111</v>
      </c>
      <c r="H115">
        <f>H114+B$4*H114*(1-H114/B$5)</f>
        <v>267.828143150002</v>
      </c>
      <c r="I115">
        <f>I114+C$4*I114*(1-I114/C$5)</f>
        <v>71.9054935408978</v>
      </c>
      <c r="J115">
        <f>J114+D$4*J114*(1-J114/D$5)</f>
        <v>133.924972957869</v>
      </c>
      <c r="K115">
        <f>K114+E$4*K114*(1-K114/E$5)</f>
        <v>653.620273835395</v>
      </c>
      <c r="M115">
        <f t="shared" si="11"/>
        <v>111</v>
      </c>
      <c r="N115">
        <f t="shared" si="12"/>
        <v>0.0085051363853767</v>
      </c>
      <c r="O115">
        <f t="shared" si="13"/>
        <v>0.147748672034344</v>
      </c>
      <c r="P115">
        <f t="shared" si="14"/>
        <v>0.0304101806153256</v>
      </c>
      <c r="Q115">
        <f t="shared" si="15"/>
        <v>34.0036439464704</v>
      </c>
      <c r="S115">
        <f t="shared" si="16"/>
        <v>50.0307316802469</v>
      </c>
      <c r="T115">
        <f t="shared" si="17"/>
        <v>122.118106334838</v>
      </c>
      <c r="U115">
        <f t="shared" si="18"/>
        <v>77.8711299225695</v>
      </c>
      <c r="V115">
        <f t="shared" si="19"/>
        <v>700.94110471925</v>
      </c>
    </row>
    <row r="116" spans="7:22">
      <c r="G116">
        <f t="shared" si="10"/>
        <v>112</v>
      </c>
      <c r="H116">
        <f>H115+B$4*H115*(1-H115/B$5)</f>
        <v>273.527570141763</v>
      </c>
      <c r="I116">
        <f>I115+C$4*I115*(1-I115/C$5)</f>
        <v>72.716655463375</v>
      </c>
      <c r="J116">
        <f>J115+D$4*J115*(1-J115/D$5)</f>
        <v>136.120391690529</v>
      </c>
      <c r="K116">
        <f>K115+E$4*K115*(1-K115/E$5)</f>
        <v>669.700310154677</v>
      </c>
      <c r="M116">
        <f t="shared" si="11"/>
        <v>112</v>
      </c>
      <c r="N116">
        <f t="shared" si="12"/>
        <v>0.0074208491159505</v>
      </c>
      <c r="O116">
        <f t="shared" si="13"/>
        <v>0.131901347044005</v>
      </c>
      <c r="P116">
        <f t="shared" si="14"/>
        <v>0.0267958835732927</v>
      </c>
      <c r="Q116">
        <f t="shared" si="15"/>
        <v>33.6700077049636</v>
      </c>
      <c r="S116">
        <f t="shared" si="16"/>
        <v>50.0305401970585</v>
      </c>
      <c r="T116">
        <f t="shared" si="17"/>
        <v>122.111791359023</v>
      </c>
      <c r="U116">
        <f t="shared" si="18"/>
        <v>77.8701826925192</v>
      </c>
      <c r="V116">
        <f t="shared" si="19"/>
        <v>696.174194368786</v>
      </c>
    </row>
    <row r="117" spans="7:22">
      <c r="G117">
        <f t="shared" si="10"/>
        <v>113</v>
      </c>
      <c r="H117">
        <f>H116+B$4*H116*(1-H116/B$5)</f>
        <v>279.326629789368</v>
      </c>
      <c r="I117">
        <f>I116+C$4*I116*(1-I116/C$5)</f>
        <v>73.5363782091177</v>
      </c>
      <c r="J117">
        <f>J116+D$4*J116*(1-J116/D$5)</f>
        <v>138.348213608551</v>
      </c>
      <c r="K117">
        <f>K116+E$4*K116*(1-K116/E$5)</f>
        <v>686.004617514753</v>
      </c>
      <c r="M117">
        <f t="shared" si="11"/>
        <v>113</v>
      </c>
      <c r="N117">
        <f t="shared" si="12"/>
        <v>0.00647479283905427</v>
      </c>
      <c r="O117">
        <f t="shared" si="13"/>
        <v>0.117753493406978</v>
      </c>
      <c r="P117">
        <f t="shared" si="14"/>
        <v>0.0236111411770027</v>
      </c>
      <c r="Q117">
        <f t="shared" si="15"/>
        <v>33.3075446468979</v>
      </c>
      <c r="S117">
        <f t="shared" si="16"/>
        <v>50.030373125968</v>
      </c>
      <c r="T117">
        <f t="shared" si="17"/>
        <v>122.106154010604</v>
      </c>
      <c r="U117">
        <f t="shared" si="18"/>
        <v>77.8693480523795</v>
      </c>
      <c r="V117">
        <f t="shared" si="19"/>
        <v>691.486156271108</v>
      </c>
    </row>
    <row r="118" spans="7:22">
      <c r="G118">
        <f t="shared" si="10"/>
        <v>114</v>
      </c>
      <c r="H118">
        <f>H117+B$4*H117*(1-H117/B$5)</f>
        <v>285.22613767147</v>
      </c>
      <c r="I118">
        <f>I117+C$4*I117*(1-I117/C$5)</f>
        <v>74.364738758426</v>
      </c>
      <c r="J118">
        <f>J117+D$4*J117*(1-J117/D$5)</f>
        <v>140.608798715001</v>
      </c>
      <c r="K118">
        <f>K117+E$4*K117*(1-K117/E$5)</f>
        <v>702.527923794222</v>
      </c>
      <c r="M118">
        <f t="shared" si="11"/>
        <v>114</v>
      </c>
      <c r="N118">
        <f t="shared" si="12"/>
        <v>0.00564934524893918</v>
      </c>
      <c r="O118">
        <f t="shared" si="13"/>
        <v>0.105122918566365</v>
      </c>
      <c r="P118">
        <f t="shared" si="14"/>
        <v>0.0208049036685427</v>
      </c>
      <c r="Q118">
        <f t="shared" si="15"/>
        <v>32.9177541544055</v>
      </c>
      <c r="S118">
        <f t="shared" si="16"/>
        <v>50.0302273546323</v>
      </c>
      <c r="T118">
        <f t="shared" si="17"/>
        <v>122.101121561433</v>
      </c>
      <c r="U118">
        <f t="shared" si="18"/>
        <v>77.8686126187114</v>
      </c>
      <c r="V118">
        <f t="shared" si="19"/>
        <v>686.879815066565</v>
      </c>
    </row>
    <row r="119" spans="7:22">
      <c r="G119">
        <f t="shared" si="10"/>
        <v>115</v>
      </c>
      <c r="H119">
        <f>H118+B$4*H118*(1-H118/B$5)</f>
        <v>291.226875146438</v>
      </c>
      <c r="I119">
        <f>I118+C$4*I118*(1-I118/C$5)</f>
        <v>75.201814479821</v>
      </c>
      <c r="J119">
        <f>J118+D$4*J118*(1-J118/D$5)</f>
        <v>142.902507080558</v>
      </c>
      <c r="K119">
        <f>K118+E$4*K118*(1-K118/E$5)</f>
        <v>719.264541158896</v>
      </c>
      <c r="M119">
        <f t="shared" si="11"/>
        <v>115</v>
      </c>
      <c r="N119">
        <f t="shared" si="12"/>
        <v>0.00492913057384246</v>
      </c>
      <c r="O119">
        <f t="shared" si="13"/>
        <v>0.093846949971978</v>
      </c>
      <c r="P119">
        <f t="shared" si="14"/>
        <v>0.0183321877119954</v>
      </c>
      <c r="Q119">
        <f t="shared" si="15"/>
        <v>32.5021992084416</v>
      </c>
      <c r="S119">
        <f t="shared" si="16"/>
        <v>50.0301001675201</v>
      </c>
      <c r="T119">
        <f t="shared" si="17"/>
        <v>122.096629092243</v>
      </c>
      <c r="U119">
        <f t="shared" si="18"/>
        <v>77.8679645991177</v>
      </c>
      <c r="V119">
        <f t="shared" si="19"/>
        <v>682.357706889368</v>
      </c>
    </row>
    <row r="120" spans="7:22">
      <c r="G120">
        <f t="shared" si="10"/>
        <v>116</v>
      </c>
      <c r="H120">
        <f>H119+B$4*H119*(1-H119/B$5)</f>
        <v>297.329587402771</v>
      </c>
      <c r="I120">
        <f>I119+C$4*I119*(1-I119/C$5)</f>
        <v>76.0476831245683</v>
      </c>
      <c r="J120">
        <f>J119+D$4*J119*(1-J119/D$5)</f>
        <v>145.229698689649</v>
      </c>
      <c r="K120">
        <f>K119+E$4*K119*(1-K119/E$5)</f>
        <v>736.208367460413</v>
      </c>
      <c r="M120">
        <f t="shared" si="11"/>
        <v>116</v>
      </c>
      <c r="N120">
        <f t="shared" si="12"/>
        <v>0.00430073319112275</v>
      </c>
      <c r="O120">
        <f t="shared" si="13"/>
        <v>0.0837803461609397</v>
      </c>
      <c r="P120">
        <f t="shared" si="14"/>
        <v>0.0161533556127089</v>
      </c>
      <c r="Q120">
        <f t="shared" si="15"/>
        <v>32.0624945513221</v>
      </c>
      <c r="S120">
        <f t="shared" si="16"/>
        <v>50.0299891953167</v>
      </c>
      <c r="T120">
        <f t="shared" si="17"/>
        <v>122.092618653558</v>
      </c>
      <c r="U120">
        <f t="shared" si="18"/>
        <v>77.8673936030602</v>
      </c>
      <c r="V120">
        <f t="shared" si="19"/>
        <v>677.922081665222</v>
      </c>
    </row>
    <row r="121" spans="7:22">
      <c r="G121">
        <f t="shared" si="10"/>
        <v>117</v>
      </c>
      <c r="H121">
        <f>H120+B$4*H120*(1-H120/B$5)</f>
        <v>303.534981483047</v>
      </c>
      <c r="I121">
        <f>I120+C$4*I120*(1-I120/C$5)</f>
        <v>76.902422820977</v>
      </c>
      <c r="J121">
        <f>J120+D$4*J120*(1-J120/D$5)</f>
        <v>147.590733281485</v>
      </c>
      <c r="K121">
        <f>K120+E$4*K120*(1-K120/E$5)</f>
        <v>753.352889134638</v>
      </c>
      <c r="M121">
        <f t="shared" si="11"/>
        <v>117</v>
      </c>
      <c r="N121">
        <f t="shared" si="12"/>
        <v>0.00375244774824205</v>
      </c>
      <c r="O121">
        <f t="shared" si="13"/>
        <v>0.0747934308858705</v>
      </c>
      <c r="P121">
        <f t="shared" si="14"/>
        <v>0.0142334801506046</v>
      </c>
      <c r="Q121">
        <f t="shared" si="15"/>
        <v>31.6002949785462</v>
      </c>
      <c r="S121">
        <f t="shared" si="16"/>
        <v>50.0298923707809</v>
      </c>
      <c r="T121">
        <f t="shared" si="17"/>
        <v>122.089038516909</v>
      </c>
      <c r="U121">
        <f t="shared" si="18"/>
        <v>77.8668904751804</v>
      </c>
      <c r="V121">
        <f t="shared" si="19"/>
        <v>673.574907055299</v>
      </c>
    </row>
    <row r="122" spans="7:22">
      <c r="G122">
        <f t="shared" si="10"/>
        <v>118</v>
      </c>
      <c r="H122">
        <f>H121+B$4*H121*(1-H121/B$5)</f>
        <v>309.843724284236</v>
      </c>
      <c r="I122">
        <f>I121+C$4*I121*(1-I121/C$5)</f>
        <v>77.7661120684713</v>
      </c>
      <c r="J122">
        <f>J121+D$4*J121*(1-J121/D$5)</f>
        <v>149.985970185945</v>
      </c>
      <c r="K122">
        <f>K121+E$4*K121*(1-K121/E$5)</f>
        <v>770.691185643049</v>
      </c>
      <c r="M122">
        <f t="shared" si="11"/>
        <v>118</v>
      </c>
      <c r="N122">
        <f t="shared" si="12"/>
        <v>0.00327406113664293</v>
      </c>
      <c r="O122">
        <f t="shared" si="13"/>
        <v>0.0667704265754728</v>
      </c>
      <c r="P122">
        <f t="shared" si="14"/>
        <v>0.012541784864001</v>
      </c>
      <c r="Q122">
        <f t="shared" si="15"/>
        <v>31.1172838823831</v>
      </c>
      <c r="S122">
        <f t="shared" si="16"/>
        <v>50.0298078902303</v>
      </c>
      <c r="T122">
        <f t="shared" si="17"/>
        <v>122.085842506586</v>
      </c>
      <c r="U122">
        <f t="shared" si="18"/>
        <v>77.8664471484444</v>
      </c>
      <c r="V122">
        <f t="shared" si="19"/>
        <v>669.31787390468</v>
      </c>
    </row>
    <row r="123" spans="7:22">
      <c r="G123">
        <f t="shared" si="10"/>
        <v>119</v>
      </c>
      <c r="H123">
        <f>H122+B$4*H122*(1-H122/B$5)</f>
        <v>316.256440537476</v>
      </c>
      <c r="I123">
        <f>I122+C$4*I122*(1-I122/C$5)</f>
        <v>78.6388297314305</v>
      </c>
      <c r="J123">
        <f>J122+D$4*J122*(1-J122/D$5)</f>
        <v>152.41576815426</v>
      </c>
      <c r="K123">
        <f>K122+E$4*K122*(1-K122/E$5)</f>
        <v>788.215935491931</v>
      </c>
      <c r="M123">
        <f t="shared" si="11"/>
        <v>119</v>
      </c>
      <c r="N123">
        <f t="shared" si="12"/>
        <v>0.00285666225850569</v>
      </c>
      <c r="O123">
        <f t="shared" si="13"/>
        <v>0.0596079659131986</v>
      </c>
      <c r="P123">
        <f t="shared" si="14"/>
        <v>0.0110511508257048</v>
      </c>
      <c r="Q123">
        <f t="shared" si="15"/>
        <v>30.6151621579947</v>
      </c>
      <c r="S123">
        <f t="shared" si="16"/>
        <v>50.0297341799379</v>
      </c>
      <c r="T123">
        <f t="shared" si="17"/>
        <v>122.082989403262</v>
      </c>
      <c r="U123">
        <f t="shared" si="18"/>
        <v>77.8660565147531</v>
      </c>
      <c r="V123">
        <f t="shared" si="19"/>
        <v>665.152403046711</v>
      </c>
    </row>
    <row r="124" spans="7:11">
      <c r="G124">
        <f t="shared" si="10"/>
        <v>120</v>
      </c>
      <c r="H124">
        <f>H123+B$4*H123*(1-H123/B$5)</f>
        <v>322.773710770615</v>
      </c>
      <c r="I124">
        <f>I123+C$4*I123*(1-I123/C$5)</f>
        <v>79.5206550327924</v>
      </c>
      <c r="J124">
        <f>J123+D$4*J123*(1-J123/D$5)</f>
        <v>154.880485184452</v>
      </c>
      <c r="K124">
        <f>K123+E$4*K123*(1-K123/E$5)</f>
        <v>805.919423855185</v>
      </c>
    </row>
    <row r="125" spans="7:11">
      <c r="G125">
        <f t="shared" si="10"/>
        <v>121</v>
      </c>
      <c r="H125">
        <f>H124+B$4*H124*(1-H124/B$5)</f>
        <v>329.396069257039</v>
      </c>
      <c r="I125">
        <f>I124+C$4*I124*(1-I124/C$5)</f>
        <v>80.4116675474175</v>
      </c>
      <c r="J125">
        <f>J124+D$4*J124*(1-J124/D$5)</f>
        <v>157.380478341481</v>
      </c>
      <c r="K125">
        <f>K124+E$4*K124*(1-K124/E$5)</f>
        <v>823.793551816867</v>
      </c>
    </row>
    <row r="126" spans="7:11">
      <c r="G126">
        <f t="shared" si="10"/>
        <v>122</v>
      </c>
      <c r="H126">
        <f>H125+B$4*H125*(1-H125/B$5)</f>
        <v>336.124001954548</v>
      </c>
      <c r="I126">
        <f>I125+C$4*I125*(1-I125/C$5)</f>
        <v>81.3119471952089</v>
      </c>
      <c r="J126">
        <f>J125+D$4*J125*(1-J125/D$5)</f>
        <v>159.916103572072</v>
      </c>
      <c r="K126">
        <f>K125+E$4*K125*(1-K125/E$5)</f>
        <v>841.829847239309</v>
      </c>
    </row>
    <row r="127" spans="7:11">
      <c r="G127">
        <f t="shared" si="10"/>
        <v>123</v>
      </c>
      <c r="H127">
        <f>H126+B$4*H126*(1-H126/B$5)</f>
        <v>342.957944438274</v>
      </c>
      <c r="I127">
        <f>I126+C$4*I126*(1-I126/C$5)</f>
        <v>82.2215742339846</v>
      </c>
      <c r="J127">
        <f>J126+D$4*J126*(1-J126/D$5)</f>
        <v>162.487715514189</v>
      </c>
      <c r="K127">
        <f>K126+E$4*K126*(1-K126/E$5)</f>
        <v>860.019477251956</v>
      </c>
    </row>
    <row r="128" spans="7:11">
      <c r="G128">
        <f t="shared" si="10"/>
        <v>124</v>
      </c>
      <c r="H128">
        <f>H127+B$4*H127*(1-H127/B$5)</f>
        <v>349.898279831823</v>
      </c>
      <c r="I128">
        <f>I127+C$4*I127*(1-I127/C$5)</f>
        <v>83.1406292520973</v>
      </c>
      <c r="J128">
        <f>J127+D$4*J127*(1-J127/D$5)</f>
        <v>165.095667301128</v>
      </c>
      <c r="K128">
        <f>K127+E$4*K127*(1-K127/E$5)</f>
        <v>878.353262344936</v>
      </c>
    </row>
    <row r="129" spans="7:11">
      <c r="G129">
        <f t="shared" si="10"/>
        <v>125</v>
      </c>
      <c r="H129">
        <f>H128+B$4*H128*(1-H128/B$5)</f>
        <v>356.945336741101</v>
      </c>
      <c r="I129">
        <f>I128+C$4*I128*(1-I128/C$5)</f>
        <v>84.0691931607981</v>
      </c>
      <c r="J129">
        <f>J128+D$4*J128*(1-J128/D$5)</f>
        <v>167.740310360209</v>
      </c>
      <c r="K129">
        <f>K128+E$4*K128*(1-K128/E$5)</f>
        <v>896.821692039954</v>
      </c>
    </row>
    <row r="130" spans="7:11">
      <c r="G130">
        <f t="shared" si="10"/>
        <v>126</v>
      </c>
      <c r="H130">
        <f>H129+B$4*H129*(1-H129/B$5)</f>
        <v>364.099387195445</v>
      </c>
      <c r="I130">
        <f>I129+C$4*I129*(1-I129/C$5)</f>
        <v>85.0073471863406</v>
      </c>
      <c r="J130">
        <f>J129+D$4*J129*(1-J129/D$5)</f>
        <v>170.421994206056</v>
      </c>
      <c r="K130">
        <f>K129+E$4*K129*(1-K129/E$5)</f>
        <v>915.414942099548</v>
      </c>
    </row>
    <row r="131" spans="7:11">
      <c r="G131">
        <f t="shared" si="10"/>
        <v>127</v>
      </c>
      <c r="H131">
        <f>H130+B$4*H130*(1-H130/B$5)</f>
        <v>371.360644600941</v>
      </c>
      <c r="I131">
        <f>I130+C$4*I130*(1-I130/C$5)</f>
        <v>85.9551728618201</v>
      </c>
      <c r="J131">
        <f>J130+D$4*J130*(1-J130/D$5)</f>
        <v>173.141066228455</v>
      </c>
      <c r="K131">
        <f>K130+E$4*K130*(1-K130/E$5)</f>
        <v>934.122893224092</v>
      </c>
    </row>
    <row r="132" spans="7:11">
      <c r="G132">
        <f t="shared" si="10"/>
        <v>128</v>
      </c>
      <c r="H132">
        <f>H131+B$4*H131*(1-H131/B$5)</f>
        <v>378.729261710987</v>
      </c>
      <c r="I132">
        <f>I131+C$4*I131*(1-I131/C$5)</f>
        <v>86.9127520187449</v>
      </c>
      <c r="J132">
        <f>J131+D$4*J131*(1-J131/D$5)</f>
        <v>175.89787147479</v>
      </c>
      <c r="K132">
        <f>K131+E$4*K131*(1-K131/E$5)</f>
        <v>952.935151174396</v>
      </c>
    </row>
    <row r="133" spans="7:11">
      <c r="G133">
        <f t="shared" ref="G133:G196" si="20">G132+1</f>
        <v>129</v>
      </c>
      <c r="H133">
        <f>H132+B$4*H132*(1-H132/B$5)</f>
        <v>386.20532861937</v>
      </c>
      <c r="I133">
        <f>I132+C$4*I132*(1-I132/C$5)</f>
        <v>87.8801667783352</v>
      </c>
      <c r="J133">
        <f>J132+D$4*J132*(1-J132/D$5)</f>
        <v>178.692752427064</v>
      </c>
      <c r="K133">
        <f>K132+E$4*K132*(1-K132/E$5)</f>
        <v>971.841068246394</v>
      </c>
    </row>
    <row r="134" spans="7:11">
      <c r="G134">
        <f t="shared" si="20"/>
        <v>130</v>
      </c>
      <c r="H134">
        <f>H133+B$4*H133*(1-H133/B$5)</f>
        <v>393.788870781327</v>
      </c>
      <c r="I134">
        <f>I133+C$4*I133*(1-I133/C$5)</f>
        <v>88.8574995425453</v>
      </c>
      <c r="J134">
        <f>J133+D$4*J133*(1-J133/D$5)</f>
        <v>181.526048773512</v>
      </c>
      <c r="K134">
        <f>K133+E$4*K133*(1-K133/E$5)</f>
        <v>990.8297660134</v>
      </c>
    </row>
    <row r="135" spans="7:11">
      <c r="G135">
        <f t="shared" si="20"/>
        <v>131</v>
      </c>
      <c r="H135">
        <f>H134+B$4*H134*(1-H134/B$5)</f>
        <v>401.479847068204</v>
      </c>
      <c r="I135">
        <f>I134+C$4*I134*(1-I134/C$5)</f>
        <v>89.8448329848063</v>
      </c>
      <c r="J135">
        <f>J134+D$4*J134*(1-J134/D$5)</f>
        <v>184.398097174835</v>
      </c>
      <c r="K135">
        <f>K134+E$4*K134*(1-K134/E$5)</f>
        <v>1009.89015924085</v>
      </c>
    </row>
    <row r="136" spans="7:11">
      <c r="G136">
        <f t="shared" si="20"/>
        <v>132</v>
      </c>
      <c r="H136">
        <f>H135+B$4*H135*(1-H135/B$5)</f>
        <v>409.278147861549</v>
      </c>
      <c r="I136">
        <f>I135+C$4*I135*(1-I135/C$5)</f>
        <v>90.8422500404833</v>
      </c>
      <c r="J136">
        <f>J135+D$4*J135*(1-J135/D$5)</f>
        <v>187.309231025082</v>
      </c>
      <c r="K136">
        <f>K135+E$4*K135*(1-K135/E$5)</f>
        <v>1029.01098086855</v>
      </c>
    </row>
    <row r="137" spans="7:11">
      <c r="G137">
        <f t="shared" si="20"/>
        <v>133</v>
      </c>
      <c r="H137">
        <f>H136+B$4*H136*(1-H136/B$5)</f>
        <v>417.183593192574</v>
      </c>
      <c r="I137">
        <f>I136+C$4*I136*(1-I136/C$5)</f>
        <v>91.8498338970449</v>
      </c>
      <c r="J137">
        <f>J136+D$4*J136*(1-J136/D$5)</f>
        <v>190.259780207207</v>
      </c>
      <c r="K137">
        <f>K136+E$4*K136*(1-K136/E$5)</f>
        <v>1048.18080794614</v>
      </c>
    </row>
    <row r="138" spans="7:11">
      <c r="G138">
        <f t="shared" si="20"/>
        <v>134</v>
      </c>
      <c r="H138">
        <f>H137+B$4*H137*(1-H137/B$5)</f>
        <v>425.195930933096</v>
      </c>
      <c r="I138">
        <f>I137+C$4*I137*(1-I137/C$5)</f>
        <v>92.8676679839403</v>
      </c>
      <c r="J138">
        <f>J137+D$4*J137*(1-J137/D$5)</f>
        <v>193.250070843362</v>
      </c>
      <c r="K138">
        <f>K137+E$4*K137*(1-K137/E$5)</f>
        <v>1067.3880883992</v>
      </c>
    </row>
    <row r="139" spans="7:11">
      <c r="G139">
        <f t="shared" si="20"/>
        <v>135</v>
      </c>
      <c r="H139">
        <f>H138+B$4*H138*(1-H138/B$5)</f>
        <v>433.314835044173</v>
      </c>
      <c r="I139">
        <f>I138+C$4*I138*(1-I138/C$5)</f>
        <v>93.8958359621799</v>
      </c>
      <c r="J139">
        <f>J138+D$4*J138*(1-J138/D$5)</f>
        <v>196.280425039971</v>
      </c>
      <c r="K139">
        <f>K138+E$4*K138*(1-K138/E$5)</f>
        <v>1086.62116849591</v>
      </c>
    </row>
    <row r="140" spans="7:11">
      <c r="G140">
        <f t="shared" si="20"/>
        <v>136</v>
      </c>
      <c r="H140">
        <f>H139+B$4*H139*(1-H139/B$5)</f>
        <v>441.539903888758</v>
      </c>
      <c r="I140">
        <f>I139+C$4*I139*(1-I139/C$5)</f>
        <v>94.9344217136156</v>
      </c>
      <c r="J140">
        <f>J139+D$4*J139*(1-J139/D$5)</f>
        <v>199.351160627644</v>
      </c>
      <c r="K140">
        <f>K139+E$4*K139*(1-K139/E$5)</f>
        <v>1105.86832087789</v>
      </c>
    </row>
    <row r="141" spans="7:11">
      <c r="G141">
        <f t="shared" si="20"/>
        <v>137</v>
      </c>
      <c r="H141">
        <f>H140+B$4*H140*(1-H140/B$5)</f>
        <v>449.870658614781</v>
      </c>
      <c r="I141">
        <f>I140+C$4*I140*(1-I140/C$5)</f>
        <v>95.983509329918</v>
      </c>
      <c r="J141">
        <f>J140+D$4*J140*(1-J140/D$5)</f>
        <v>202.462590896019</v>
      </c>
      <c r="K141">
        <f>K140+E$4*K140*(1-K140/E$5)</f>
        <v>1125.11777301351</v>
      </c>
    </row>
    <row r="142" spans="7:11">
      <c r="G142">
        <f t="shared" si="20"/>
        <v>138</v>
      </c>
      <c r="H142">
        <f>H141+B$4*H141*(1-H141/B$5)</f>
        <v>458.306541615116</v>
      </c>
      <c r="I142">
        <f>I141+C$4*I141*(1-I141/C$5)</f>
        <v>97.0431831012442</v>
      </c>
      <c r="J142">
        <f>J141+D$4*J141*(1-J141/D$5)</f>
        <v>205.615024323599</v>
      </c>
      <c r="K142">
        <f>K141+E$4*K141*(1-K141/E$5)</f>
        <v>1144.35773592794</v>
      </c>
    </row>
    <row r="143" spans="7:11">
      <c r="G143">
        <f t="shared" si="20"/>
        <v>139</v>
      </c>
      <c r="H143">
        <f>H142+B$4*H142*(1-H142/B$5)</f>
        <v>466.846915070949</v>
      </c>
      <c r="I143">
        <f>I142+C$4*I142*(1-I142/C$5)</f>
        <v>98.1135275045949</v>
      </c>
      <c r="J143">
        <f>J142+D$4*J142*(1-J142/D$5)</f>
        <v>208.808764302693</v>
      </c>
      <c r="K143">
        <f>K142+E$4*K142*(1-K142/E$5)</f>
        <v>1163.57643306168</v>
      </c>
    </row>
    <row r="144" spans="7:11">
      <c r="G144">
        <f t="shared" si="20"/>
        <v>140</v>
      </c>
      <c r="H144">
        <f>H143+B$4*H143*(1-H143/B$5)</f>
        <v>475.491059585067</v>
      </c>
      <c r="I144">
        <f>I143+C$4*I143*(1-I143/C$5)</f>
        <v>99.1946271918561</v>
      </c>
      <c r="J144">
        <f>J143+D$4*J143*(1-J143/D$5)</f>
        <v>212.044108859546</v>
      </c>
      <c r="K144">
        <f>K143+E$4*K143*(1-K143/E$5)</f>
        <v>1182.76212910739</v>
      </c>
    </row>
    <row r="145" spans="7:11">
      <c r="G145">
        <f t="shared" si="20"/>
        <v>141</v>
      </c>
      <c r="H145">
        <f>H144+B$4*H144*(1-H144/B$5)</f>
        <v>484.238172911564</v>
      </c>
      <c r="I145">
        <f>I144+C$4*I144*(1-I144/C$5)</f>
        <v>100.286566977521</v>
      </c>
      <c r="J145">
        <f>J144+D$4*J144*(1-J144/D$5)</f>
        <v>215.321350369793</v>
      </c>
      <c r="K145">
        <f>K144+E$4*K144*(1-K144/E$5)</f>
        <v>1201.90315867534</v>
      </c>
    </row>
    <row r="146" spans="7:11">
      <c r="G146">
        <f t="shared" si="20"/>
        <v>142</v>
      </c>
      <c r="H146">
        <f>H145+B$4*H145*(1-H145/B$5)</f>
        <v>493.087368788454</v>
      </c>
      <c r="I146">
        <f>I145+C$4*I145*(1-I145/C$5)</f>
        <v>101.38943182609</v>
      </c>
      <c r="J146">
        <f>J145+D$4*J145*(1-J145/D$5)</f>
        <v>218.640775269349</v>
      </c>
      <c r="K146">
        <f>K145+E$4*K145*(1-K145/E$5)</f>
        <v>1220.98795463844</v>
      </c>
    </row>
    <row r="147" spans="7:11">
      <c r="G147">
        <f t="shared" si="20"/>
        <v>143</v>
      </c>
      <c r="H147">
        <f>H146+B$4*H146*(1-H146/B$5)</f>
        <v>502.037675879572</v>
      </c>
      <c r="I147">
        <f>I146+C$4*I146*(1-I146/C$5)</f>
        <v>102.503306839143</v>
      </c>
      <c r="J147">
        <f>J146+D$4*J146*(1-J146/D$5)</f>
        <v>222.002663760873</v>
      </c>
      <c r="K147">
        <f>K146+E$4*K146*(1-K146/E$5)</f>
        <v>1240.00507601078</v>
      </c>
    </row>
    <row r="148" spans="7:11">
      <c r="G148">
        <f t="shared" si="20"/>
        <v>144</v>
      </c>
      <c r="H148">
        <f>H147+B$4*H147*(1-H147/B$5)</f>
        <v>511.088036832081</v>
      </c>
      <c r="I148">
        <f>I147+C$4*I147*(1-I147/C$5)</f>
        <v>103.628277242083</v>
      </c>
      <c r="J148">
        <f>J147+D$4*J147*(1-J147/D$5)</f>
        <v>225.407289515965</v>
      </c>
      <c r="K148">
        <f>K147+E$4*K147*(1-K147/E$5)</f>
        <v>1258.94323521723</v>
      </c>
    </row>
    <row r="149" spans="7:11">
      <c r="G149">
        <f t="shared" si="20"/>
        <v>145</v>
      </c>
      <c r="H149">
        <f>H148+B$4*H148*(1-H148/B$5)</f>
        <v>520.23730745576</v>
      </c>
      <c r="I149">
        <f>I148+C$4*I148*(1-I148/C$5)</f>
        <v>104.764428370546</v>
      </c>
      <c r="J149">
        <f>J148+D$4*J148*(1-J148/D$5)</f>
        <v>228.854919373249</v>
      </c>
      <c r="K149">
        <f>K148+E$4*K148*(1-K148/E$5)</f>
        <v>1277.79132461689</v>
      </c>
    </row>
    <row r="150" spans="7:11">
      <c r="G150">
        <f t="shared" si="20"/>
        <v>146</v>
      </c>
      <c r="H150">
        <f>H149+B$4*H149*(1-H149/B$5)</f>
        <v>529.484256030087</v>
      </c>
      <c r="I150">
        <f>I149+C$4*I149*(1-I149/C$5)</f>
        <v>105.911845656475</v>
      </c>
      <c r="J150">
        <f>J149+D$4*J149*(1-J149/D$5)</f>
        <v>232.345813032512</v>
      </c>
      <c r="K150">
        <f>K149+E$4*K149*(1-K149/E$5)</f>
        <v>1296.53844214925</v>
      </c>
    </row>
    <row r="151" spans="7:11">
      <c r="G151">
        <f t="shared" si="20"/>
        <v>147</v>
      </c>
      <c r="H151">
        <f>H150+B$4*H150*(1-H150/B$5)</f>
        <v>538.827562744954</v>
      </c>
      <c r="I151">
        <f>I150+C$4*I150*(1-I150/C$5)</f>
        <v>107.070614613849</v>
      </c>
      <c r="J151">
        <f>J150+D$4*J150*(1-J150/D$5)</f>
        <v>235.880222745092</v>
      </c>
      <c r="K151">
        <f>K150+E$4*K150*(1-K150/E$5)</f>
        <v>1315.17391597948</v>
      </c>
    </row>
    <row r="152" spans="7:11">
      <c r="G152">
        <f t="shared" si="20"/>
        <v>148</v>
      </c>
      <c r="H152">
        <f>H151+B$4*H151*(1-H151/B$5)</f>
        <v>548.26581928061</v>
      </c>
      <c r="I152">
        <f>I151+C$4*I151*(1-I151/C$5)</f>
        <v>108.240820824077</v>
      </c>
      <c r="J152">
        <f>J151+D$4*J151*(1-J151/D$5)</f>
        <v>239.458393000717</v>
      </c>
      <c r="K152">
        <f>K151+E$4*K151*(1-K151/E$5)</f>
        <v>1333.6873280276</v>
      </c>
    </row>
    <row r="153" spans="7:11">
      <c r="G153">
        <f t="shared" si="20"/>
        <v>149</v>
      </c>
      <c r="H153">
        <f>H152+B$4*H152*(1-H152/B$5)</f>
        <v>557.797528532189</v>
      </c>
      <c r="I153">
        <f>I152+C$4*I152*(1-I152/C$5)</f>
        <v>109.422549921039</v>
      </c>
      <c r="J153">
        <f>J152+D$4*J152*(1-J152/D$5)</f>
        <v>243.080560210988</v>
      </c>
      <c r="K153">
        <f>K152+E$4*K152*(1-K152/E$5)</f>
        <v>1352.06853627541</v>
      </c>
    </row>
    <row r="154" spans="7:11">
      <c r="G154">
        <f t="shared" si="20"/>
        <v>150</v>
      </c>
      <c r="H154">
        <f>H153+B$4*H153*(1-H153/B$5)</f>
        <v>567.421104483874</v>
      </c>
      <c r="I154">
        <f>I153+C$4*I153*(1-I153/C$5)</f>
        <v>110.61588757578</v>
      </c>
      <c r="J154">
        <f>J153+D$4*J153*(1-J153/D$5)</f>
        <v>246.746952389756</v>
      </c>
      <c r="K154">
        <f>K153+E$4*K153*(1-K153/E$5)</f>
        <v>1370.30769575527</v>
      </c>
    </row>
    <row r="155" spans="7:11">
      <c r="G155">
        <f t="shared" si="20"/>
        <v>151</v>
      </c>
      <c r="H155">
        <f>H154+B$4*H154*(1-H154/B$5)</f>
        <v>577.134872237447</v>
      </c>
      <c r="I155">
        <f>I154+C$4*I154*(1-I154/C$5)</f>
        <v>111.820919480847</v>
      </c>
      <c r="J155">
        <f>J154+D$4*J154*(1-J154/D$5)</f>
        <v>250.457788830608</v>
      </c>
      <c r="K155">
        <f>K154+E$4*K154*(1-K154/E$5)</f>
        <v>1388.39527813552</v>
      </c>
    </row>
    <row r="156" spans="7:11">
      <c r="G156">
        <f t="shared" si="20"/>
        <v>152</v>
      </c>
      <c r="H156">
        <f>H155+B$4*H155*(1-H155/B$5)</f>
        <v>586.937068199598</v>
      </c>
      <c r="I156">
        <f>I155+C$4*I155*(1-I155/C$5)</f>
        <v>113.037731334282</v>
      </c>
      <c r="J156">
        <f>J155+D$4*J155*(1-J155/D$5)</f>
        <v>254.213279781728</v>
      </c>
      <c r="K156">
        <f>K155+E$4*K155*(1-K155/E$5)</f>
        <v>1406.32208982835</v>
      </c>
    </row>
    <row r="157" spans="7:11">
      <c r="G157">
        <f t="shared" si="20"/>
        <v>153</v>
      </c>
      <c r="H157">
        <f>H156+B$4*H156*(1-H156/B$5)</f>
        <v>596.825840431995</v>
      </c>
      <c r="I157">
        <f>I156+C$4*I156*(1-I156/C$5)</f>
        <v>114.266408823241</v>
      </c>
      <c r="J157">
        <f>J156+D$4*J156*(1-J156/D$5)</f>
        <v>258.01362611839</v>
      </c>
      <c r="K157">
        <f>K156+E$4*K156*(1-K156/E$5)</f>
        <v>1424.07928855785</v>
      </c>
    </row>
    <row r="158" spans="7:11">
      <c r="G158">
        <f t="shared" si="20"/>
        <v>154</v>
      </c>
      <c r="H158">
        <f>H157+B$4*H157*(1-H157/B$5)</f>
        <v>606.799249167692</v>
      </c>
      <c r="I158">
        <f>I157+C$4*I157*(1-I157/C$5)</f>
        <v>115.507037607267</v>
      </c>
      <c r="J158">
        <f>J157+D$4*J157*(1-J157/D$5)</f>
        <v>261.859019013368</v>
      </c>
      <c r="K158">
        <f>K157+E$4*K157*(1-K157/E$5)</f>
        <v>1441.65839833761</v>
      </c>
    </row>
    <row r="159" spans="7:11">
      <c r="G159">
        <f t="shared" si="20"/>
        <v>155</v>
      </c>
      <c r="H159">
        <f>H158+B$4*H158*(1-H158/B$5)</f>
        <v>616.855267497017</v>
      </c>
      <c r="I159">
        <f>I158+C$4*I158*(1-I158/C$5)</f>
        <v>116.759703301186</v>
      </c>
      <c r="J159">
        <f>J158+D$4*J158*(1-J158/D$5)</f>
        <v>265.749639605545</v>
      </c>
      <c r="K159">
        <f>K158+E$4*K158*(1-K158/E$5)</f>
        <v>1459.05132281925</v>
      </c>
    </row>
    <row r="160" spans="7:11">
      <c r="G160">
        <f t="shared" si="20"/>
        <v>156</v>
      </c>
      <c r="H160">
        <f>H159+B$4*H159*(1-H159/B$5)</f>
        <v>626.99178222557</v>
      </c>
      <c r="I160">
        <f>I159+C$4*I159*(1-I159/C$5)</f>
        <v>118.02449145765</v>
      </c>
      <c r="J160">
        <f>J159+D$4*J159*(1-J159/D$5)</f>
        <v>269.685658667039</v>
      </c>
      <c r="K160">
        <f>K159+E$4*K159*(1-K159/E$5)</f>
        <v>1476.25035698532</v>
      </c>
    </row>
    <row r="161" spans="7:11">
      <c r="G161">
        <f t="shared" si="20"/>
        <v>157</v>
      </c>
      <c r="H161">
        <f>H160+B$4*H160*(1-H160/B$5)</f>
        <v>637.206594906509</v>
      </c>
      <c r="I161">
        <f>I160+C$4*I160*(1-I160/C$5)</f>
        <v>119.301487549304</v>
      </c>
      <c r="J161">
        <f>J160+D$4*J160*(1-J160/D$5)</f>
        <v>273.667236269158</v>
      </c>
      <c r="K161">
        <f>K160+E$4*K160*(1-K160/E$5)</f>
        <v>1493.24819717186</v>
      </c>
    </row>
    <row r="162" spans="7:11">
      <c r="G162">
        <f t="shared" si="20"/>
        <v>158</v>
      </c>
      <c r="H162">
        <f>H161+B$4*H161*(1-H161/B$5)</f>
        <v>647.497423048723</v>
      </c>
      <c r="I162">
        <f>I161+C$4*I161*(1-I161/C$5)</f>
        <v>120.590776950581</v>
      </c>
      <c r="J162">
        <f>J161+D$4*J161*(1-J161/D$5)</f>
        <v>277.694521447516</v>
      </c>
      <c r="K162">
        <f>K161+E$4*K161*(1-K161/E$5)</f>
        <v>1510.0379494172</v>
      </c>
    </row>
    <row r="163" spans="7:11">
      <c r="G163">
        <f t="shared" si="20"/>
        <v>159</v>
      </c>
      <c r="H163">
        <f>H162+B$4*H162*(1-H162/B$5)</f>
        <v>657.861901501958</v>
      </c>
      <c r="I163">
        <f>I162+C$4*I162*(1-I162/C$5)</f>
        <v>121.892444919132</v>
      </c>
      <c r="J163">
        <f>J162+D$4*J162*(1-J162/D$5)</f>
        <v>281.767651866668</v>
      </c>
      <c r="K163">
        <f>K162+E$4*K162*(1-K162/E$5)</f>
        <v>1526.61313614507</v>
      </c>
    </row>
    <row r="164" spans="7:11">
      <c r="G164">
        <f t="shared" si="20"/>
        <v>160</v>
      </c>
      <c r="H164">
        <f>H163+B$4*H163*(1-H163/B$5)</f>
        <v>668.297584019399</v>
      </c>
      <c r="I164">
        <f>I163+C$4*I163*(1-I163/C$5)</f>
        <v>123.206576576878</v>
      </c>
      <c r="J164">
        <f>J163+D$4*J163*(1-J163/D$5)</f>
        <v>285.886753484606</v>
      </c>
      <c r="K164">
        <f>K163+E$4*K163*(1-K163/E$5)</f>
        <v>1542.9677012007</v>
      </c>
    </row>
    <row r="165" spans="7:11">
      <c r="G165">
        <f t="shared" si="20"/>
        <v>161</v>
      </c>
      <c r="H165">
        <f>H164+B$4*H164*(1-H164/B$5)</f>
        <v>678.801944997576</v>
      </c>
      <c r="I165">
        <f>I164+C$4*I164*(1-I164/C$5)</f>
        <v>124.533256890683</v>
      </c>
      <c r="J165">
        <f>J164+D$4*J164*(1-J164/D$5)</f>
        <v>290.051940217514</v>
      </c>
      <c r="K165">
        <f>K164+E$4*K164*(1-K164/E$5)</f>
        <v>1559.09601326855</v>
      </c>
    </row>
    <row r="166" spans="7:11">
      <c r="G166">
        <f t="shared" si="20"/>
        <v>162</v>
      </c>
      <c r="H166">
        <f>H165+B$4*H165*(1-H165/B$5)</f>
        <v>689.372381392898</v>
      </c>
      <c r="I166">
        <f>I165+C$4*I165*(1-I165/C$5)</f>
        <v>125.872570652653</v>
      </c>
      <c r="J166">
        <f>J165+D$4*J165*(1-J165/D$5)</f>
        <v>294.263313605141</v>
      </c>
      <c r="K166">
        <f>K165+E$4*K165*(1-K165/E$5)</f>
        <v>1574.99286770993</v>
      </c>
    </row>
    <row r="167" spans="7:11">
      <c r="G167">
        <f t="shared" si="20"/>
        <v>163</v>
      </c>
      <c r="H167">
        <f>H166+B$4*H166*(1-H166/B$5)</f>
        <v>700.006214813452</v>
      </c>
      <c r="I167">
        <f>I166+C$4*I166*(1-I166/C$5)</f>
        <v>127.224602460058</v>
      </c>
      <c r="J167">
        <f>J166+D$4*J166*(1-J166/D$5)</f>
        <v>298.520962477227</v>
      </c>
      <c r="K167">
        <f>K166+E$4*K166*(1-K166/E$5)</f>
        <v>1590.65348686759</v>
      </c>
    </row>
    <row r="168" spans="7:11">
      <c r="G168">
        <f t="shared" si="20"/>
        <v>164</v>
      </c>
      <c r="H168">
        <f>H167+B$4*H167*(1-H167/B$5)</f>
        <v>710.700693784101</v>
      </c>
      <c r="I168">
        <f>I167+C$4*I167*(1-I167/C$5)</f>
        <v>128.589436694867</v>
      </c>
      <c r="J168">
        <f>J167+D$4*J167*(1-J167/D$5)</f>
        <v>302.824962621358</v>
      </c>
      <c r="K168">
        <f>K167+E$4*K167*(1-K167/E$5)</f>
        <v>1606.07351889207</v>
      </c>
    </row>
    <row r="169" spans="7:11">
      <c r="G169">
        <f t="shared" si="20"/>
        <v>165</v>
      </c>
      <c r="H169">
        <f>H168+B$4*H168*(1-H168/B$5)</f>
        <v>721.452996182243</v>
      </c>
      <c r="I169">
        <f>I168+C$4*I168*(1-I168/C$5)</f>
        <v>129.96715750291</v>
      </c>
      <c r="J169">
        <f>J168+D$4*J168*(1-J168/D$5)</f>
        <v>307.175376452703</v>
      </c>
      <c r="K169">
        <f>K168+E$4*K168*(1-K168/E$5)</f>
        <v>1621.24903515192</v>
      </c>
    </row>
    <row r="170" spans="7:11">
      <c r="G170">
        <f t="shared" si="20"/>
        <v>166</v>
      </c>
      <c r="H170">
        <f>H169+B$4*H169*(1-H169/B$5)</f>
        <v>732.260231840961</v>
      </c>
      <c r="I170">
        <f>I169+C$4*I169*(1-I169/C$5)</f>
        <v>131.357848772652</v>
      </c>
      <c r="J170">
        <f>J169+D$4*J169*(1-J169/D$5)</f>
        <v>311.572252686065</v>
      </c>
      <c r="K170">
        <f>K169+E$4*K169*(1-K169/E$5)</f>
        <v>1636.17652629618</v>
      </c>
    </row>
    <row r="171" spans="7:11">
      <c r="G171">
        <f t="shared" si="20"/>
        <v>167</v>
      </c>
      <c r="H171">
        <f>H170+B$4*H170*(1-H170/B$5)</f>
        <v>743.119445315655</v>
      </c>
      <c r="I171">
        <f>I170+C$4*I170*(1-I170/C$5)</f>
        <v>132.761594113582</v>
      </c>
      <c r="J171">
        <f>J170+D$4*J170*(1-J170/D$5)</f>
        <v>316.015626010688</v>
      </c>
      <c r="K171">
        <f>K170+E$4*K170*(1-K170/E$5)</f>
        <v>1650.85289704287</v>
      </c>
    </row>
    <row r="172" spans="7:11">
      <c r="G172">
        <f t="shared" si="20"/>
        <v>168</v>
      </c>
      <c r="H172">
        <f>H171+B$4*H171*(1-H171/B$5)</f>
        <v>754.02761880957</v>
      </c>
      <c r="I172">
        <f>I171+C$4*I171*(1-I171/C$5)</f>
        <v>134.178476834229</v>
      </c>
      <c r="J172">
        <f>J171+D$4*J171*(1-J171/D$5)</f>
        <v>320.505516768285</v>
      </c>
      <c r="K172">
        <f>K171+E$4*K171*(1-K171/E$5)</f>
        <v>1665.27545977181</v>
      </c>
    </row>
    <row r="173" spans="7:11">
      <c r="G173">
        <f t="shared" si="20"/>
        <v>169</v>
      </c>
      <c r="H173">
        <f>H172+B$4*H172*(1-H172/B$5)</f>
        <v>764.981675253037</v>
      </c>
      <c r="I173">
        <f>I172+C$4*I172*(1-I172/C$5)</f>
        <v>135.608579919784</v>
      </c>
      <c r="J173">
        <f>J172+D$4*J172*(1-J172/D$5)</f>
        <v>325.041930634767</v>
      </c>
      <c r="K173">
        <f>K172+E$4*K172*(1-K172/E$5)</f>
        <v>1679.44192700376</v>
      </c>
    </row>
    <row r="174" spans="7:11">
      <c r="G174">
        <f t="shared" si="20"/>
        <v>170</v>
      </c>
      <c r="H174">
        <f>H173+B$4*H173*(1-H173/B$5)</f>
        <v>775.978481530572</v>
      </c>
      <c r="I174">
        <f>I173+C$4*I173*(1-I173/C$5)</f>
        <v>137.051986009343</v>
      </c>
      <c r="J174">
        <f>J173+D$4*J173*(1-J173/D$5)</f>
        <v>329.624858306144</v>
      </c>
      <c r="K174">
        <f>K173+E$4*K173*(1-K173/E$5)</f>
        <v>1693.35040285061</v>
      </c>
    </row>
    <row r="175" spans="7:11">
      <c r="G175">
        <f t="shared" si="20"/>
        <v>171</v>
      </c>
      <c r="H175">
        <f>H174+B$4*H174*(1-H174/B$5)</f>
        <v>787.014851849413</v>
      </c>
      <c r="I175">
        <f>I174+C$4*I174*(1-I174/C$5)</f>
        <v>138.508777372764</v>
      </c>
      <c r="J175">
        <f>J174+D$4*J174*(1-J174/D$5)</f>
        <v>334.254275189094</v>
      </c>
      <c r="K175">
        <f>K174+E$4*K174*(1-K174/E$5)</f>
        <v>1706.99937352347</v>
      </c>
    </row>
    <row r="176" spans="7:11">
      <c r="G176">
        <f t="shared" si="20"/>
        <v>172</v>
      </c>
      <c r="H176">
        <f>H175+B$4*H175*(1-H175/B$5)</f>
        <v>798.087551242432</v>
      </c>
      <c r="I176">
        <f>I175+C$4*I175*(1-I175/C$5)</f>
        <v>139.979035887144</v>
      </c>
      <c r="J176">
        <f>J175+D$4*J175*(1-J175/D$5)</f>
        <v>338.930141096712</v>
      </c>
      <c r="K176">
        <f>K175+E$4*K175*(1-K175/E$5)</f>
        <v>1720.38769698664</v>
      </c>
    </row>
    <row r="177" spans="7:11">
      <c r="G177">
        <f t="shared" si="20"/>
        <v>173</v>
      </c>
      <c r="H177">
        <f>H176+B$4*H176*(1-H176/B$5)</f>
        <v>809.193299197824</v>
      </c>
      <c r="I177">
        <f>I176+C$4*I176*(1-I176/C$5)</f>
        <v>141.462843012911</v>
      </c>
      <c r="J177">
        <f>J176+D$4*J176*(1-J176/D$5)</f>
        <v>343.652399949926</v>
      </c>
      <c r="K177">
        <f>K176+E$4*K176*(1-K176/E$5)</f>
        <v>1733.51459184571</v>
      </c>
    </row>
    <row r="178" spans="7:11">
      <c r="G178">
        <f t="shared" si="20"/>
        <v>174</v>
      </c>
      <c r="H178">
        <f>H177+B$4*H177*(1-H177/B$5)</f>
        <v>820.3287734074</v>
      </c>
      <c r="I178">
        <f>I177+C$4*I177*(1-I177/C$5)</f>
        <v>142.960279769533</v>
      </c>
      <c r="J178">
        <f>J177+D$4*J177*(1-J177/D$5)</f>
        <v>348.420979485129</v>
      </c>
      <c r="K178">
        <f>K177+E$4*K177*(1-K177/E$5)</f>
        <v>1746.37962555806</v>
      </c>
    </row>
    <row r="179" spans="7:11">
      <c r="G179">
        <f t="shared" si="20"/>
        <v>175</v>
      </c>
      <c r="H179">
        <f>H178+B$4*H178*(1-H178/B$5)</f>
        <v>831.490613624806</v>
      </c>
      <c r="I179">
        <f>I178+C$4*I178*(1-I178/C$5)</f>
        <v>144.471426710849</v>
      </c>
      <c r="J179">
        <f>J178+D$4*J178*(1-J178/D$5)</f>
        <v>353.235790968517</v>
      </c>
      <c r="K179">
        <f>K178+E$4*K178*(1-K178/E$5)</f>
        <v>1758.9827020527</v>
      </c>
    </row>
    <row r="180" spans="7:11">
      <c r="G180">
        <f t="shared" si="20"/>
        <v>176</v>
      </c>
      <c r="H180">
        <f>H179+B$4*H179*(1-H179/B$5)</f>
        <v>842.675425624507</v>
      </c>
      <c r="I180">
        <f>I179+C$4*I179*(1-I179/C$5)</f>
        <v>145.996363900021</v>
      </c>
      <c r="J180">
        <f>J179+D$4*J179*(1-J179/D$5)</f>
        <v>358.096728917696</v>
      </c>
      <c r="K180">
        <f>K179+E$4*K179*(1-K179/E$5)</f>
        <v>1771.32404884535</v>
      </c>
    </row>
    <row r="181" spans="7:11">
      <c r="G181">
        <f t="shared" si="20"/>
        <v>177</v>
      </c>
      <c r="H181">
        <f>H180+B$4*H180*(1-H180/B$5)</f>
        <v>853.879785251905</v>
      </c>
      <c r="I181">
        <f>I180+C$4*I180*(1-I180/C$5)</f>
        <v>147.535170884101</v>
      </c>
      <c r="J181">
        <f>J180+D$4*J180*(1-J180/D$5)</f>
        <v>363.003670831076</v>
      </c>
      <c r="K181">
        <f>K180+E$4*K180*(1-K180/E$5)</f>
        <v>1783.40420373193</v>
      </c>
    </row>
    <row r="182" spans="7:11">
      <c r="G182">
        <f t="shared" si="20"/>
        <v>178</v>
      </c>
      <c r="H182">
        <f>H181+B$4*H181*(1-H181/B$5)</f>
        <v>865.100242554566</v>
      </c>
      <c r="I182">
        <f>I181+C$4*I181*(1-I181/C$5)</f>
        <v>149.087926668232</v>
      </c>
      <c r="J182">
        <f>J181+D$4*J181*(1-J181/D$5)</f>
        <v>367.956476925593</v>
      </c>
      <c r="K182">
        <f>K181+E$4*K181*(1-K181/E$5)</f>
        <v>1795.22400114159</v>
      </c>
    </row>
    <row r="183" spans="7:11">
      <c r="G183">
        <f t="shared" si="20"/>
        <v>179</v>
      </c>
      <c r="H183">
        <f>H182+B$4*H182*(1-H182/B$5)</f>
        <v>876.333325984153</v>
      </c>
      <c r="I183">
        <f>I182+C$4*I182*(1-I182/C$5)</f>
        <v>150.654709689468</v>
      </c>
      <c r="J183">
        <f>J182+D$4*J182*(1-J182/D$5)</f>
        <v>372.954989883316</v>
      </c>
      <c r="K183">
        <f>K182+E$4*K182*(1-K182/E$5)</f>
        <v>1806.78455822717</v>
      </c>
    </row>
    <row r="184" spans="7:11">
      <c r="G184">
        <f t="shared" si="20"/>
        <v>180</v>
      </c>
      <c r="H184">
        <f>H183+B$4*H183*(1-H183/B$5)</f>
        <v>887.575546658334</v>
      </c>
      <c r="I184">
        <f>I183+C$4*I183*(1-I183/C$5)</f>
        <v>152.235597790226</v>
      </c>
      <c r="J184">
        <f>J183+D$4*J183*(1-J183/D$5)</f>
        <v>377.999034607469</v>
      </c>
      <c r="K184">
        <f>K183+E$4*K183*(1-K183/E$5)</f>
        <v>1818.08726076754</v>
      </c>
    </row>
    <row r="185" spans="7:11">
      <c r="G185">
        <f t="shared" si="20"/>
        <v>181</v>
      </c>
      <c r="H185">
        <f>H184+B$4*H184*(1-H184/B$5)</f>
        <v>898.823402671655</v>
      </c>
      <c r="I185">
        <f>I184+C$4*I184*(1-I184/C$5)</f>
        <v>153.830668191363</v>
      </c>
      <c r="J185">
        <f>J184+D$4*J184*(1-J184/D$5)</f>
        <v>383.088417988434</v>
      </c>
      <c r="K185">
        <f>K184+E$4*K184*(1-K184/E$5)</f>
        <v>1829.13374895268</v>
      </c>
    </row>
    <row r="186" spans="7:11">
      <c r="G186">
        <f t="shared" si="20"/>
        <v>182</v>
      </c>
      <c r="H186">
        <f>H185+B$4*H185*(1-H185/B$5)</f>
        <v>910.073383444138</v>
      </c>
      <c r="I186">
        <f>I185+C$4*I185*(1-I185/C$5)</f>
        <v>155.439997464898</v>
      </c>
      <c r="J186">
        <f>J185+D$4*J185*(1-J185/D$5)</f>
        <v>388.222928680263</v>
      </c>
      <c r="K186">
        <f>K185+E$4*K185*(1-K185/E$5)</f>
        <v>1839.92590311852</v>
      </c>
    </row>
    <row r="187" spans="7:11">
      <c r="G187">
        <f t="shared" si="20"/>
        <v>183</v>
      </c>
      <c r="H187">
        <f>H186+B$4*H186*(1-H186/B$5)</f>
        <v>921.321974096165</v>
      </c>
      <c r="I187">
        <f>I186+C$4*I186*(1-I186/C$5)</f>
        <v>157.063661506357</v>
      </c>
      <c r="J187">
        <f>J186+D$4*J186*(1-J186/D$5)</f>
        <v>393.402336888271</v>
      </c>
      <c r="K187">
        <f>K186+E$4*K186*(1-K186/E$5)</f>
        <v>1850.46582949411</v>
      </c>
    </row>
    <row r="188" spans="7:11">
      <c r="G188">
        <f t="shared" si="20"/>
        <v>184</v>
      </c>
      <c r="H188">
        <f>H187+B$4*H187*(1-H187/B$5)</f>
        <v>932.565659838119</v>
      </c>
      <c r="I188">
        <f>I187+C$4*I187*(1-I187/C$5)</f>
        <v>158.701735506776</v>
      </c>
      <c r="J188">
        <f>J187+D$4*J187*(1-J187/D$5)</f>
        <v>398.62639416823</v>
      </c>
      <c r="K188">
        <f>K187+E$4*K187*(1-K187/E$5)</f>
        <v>1860.75584601986</v>
      </c>
    </row>
    <row r="189" spans="7:11">
      <c r="G189">
        <f t="shared" si="20"/>
        <v>185</v>
      </c>
      <c r="H189">
        <f>H188+B$4*H188*(1-H188/B$5)</f>
        <v>943.800930363109</v>
      </c>
      <c r="I189">
        <f>I188+C$4*I188*(1-I188/C$5)</f>
        <v>160.354293924329</v>
      </c>
      <c r="J189">
        <f>J188+D$4*J188*(1-J188/D$5)</f>
        <v>403.894833237727</v>
      </c>
      <c r="K189">
        <f>K188+E$4*K188*(1-K188/E$5)</f>
        <v>1870.79846829083</v>
      </c>
    </row>
    <row r="190" spans="7:11">
      <c r="G190">
        <f t="shared" si="20"/>
        <v>186</v>
      </c>
      <c r="H190">
        <f>H189+B$4*H189*(1-H189/B$5)</f>
        <v>955.024284231155</v>
      </c>
      <c r="I190">
        <f>I189+C$4*I189*(1-I189/C$5)</f>
        <v>162.021410455621</v>
      </c>
      <c r="J190">
        <f>J189+D$4*J189*(1-J189/D$5)</f>
        <v>409.207367800213</v>
      </c>
      <c r="K190">
        <f>K189+E$4*K189*(1-K189/E$5)</f>
        <v>1880.59639567484</v>
      </c>
    </row>
    <row r="191" spans="7:11">
      <c r="G191">
        <f t="shared" si="20"/>
        <v>187</v>
      </c>
      <c r="H191">
        <f>H190+B$4*H190*(1-H190/B$5)</f>
        <v>966.232233233167</v>
      </c>
      <c r="I191">
        <f>I190+C$4*I190*(1-I190/C$5)</f>
        <v>163.703158006628</v>
      </c>
      <c r="J191">
        <f>J190+D$4*J190*(1-J190/D$5)</f>
        <v>414.563692382273</v>
      </c>
      <c r="K191">
        <f>K190+E$4*K190*(1-K190/E$5)</f>
        <v>1890.15249765079</v>
      </c>
    </row>
    <row r="192" spans="7:11">
      <c r="G192">
        <f t="shared" si="20"/>
        <v>188</v>
      </c>
      <c r="H192">
        <f>H191+B$4*H191*(1-H191/B$5)</f>
        <v>977.42130672318</v>
      </c>
      <c r="I192">
        <f>I191+C$4*I191*(1-I191/C$5)</f>
        <v>165.399608663294</v>
      </c>
      <c r="J192">
        <f>J191+D$4*J191*(1-J191/D$5)</f>
        <v>419.963482184654</v>
      </c>
      <c r="K192">
        <f>K191+E$4*K191*(1-K191/E$5)</f>
        <v>1899.46980040804</v>
      </c>
    </row>
    <row r="193" spans="7:11">
      <c r="G193">
        <f t="shared" si="20"/>
        <v>189</v>
      </c>
      <c r="H193">
        <f>H192+B$4*H192*(1-H192/B$5)</f>
        <v>988.58805590742</v>
      </c>
      <c r="I193">
        <f>I192+C$4*I192*(1-I192/C$5)</f>
        <v>167.110833661794</v>
      </c>
      <c r="J193">
        <f>J192+D$4*J192*(1-J192/D$5)</f>
        <v>425.406392947554</v>
      </c>
      <c r="K193">
        <f>K192+E$4*K192*(1-K192/E$5)</f>
        <v>1908.55147374361</v>
      </c>
    </row>
    <row r="194" spans="7:11">
      <c r="G194">
        <f t="shared" si="20"/>
        <v>190</v>
      </c>
      <c r="H194">
        <f>H193+B$4*H193*(1-H193/B$5)</f>
        <v>999.729058078956</v>
      </c>
      <c r="I194">
        <f>I193+C$4*I193*(1-I193/C$5)</f>
        <v>168.836903358464</v>
      </c>
      <c r="J194">
        <f>J193+D$4*J193*(1-J193/D$5)</f>
        <v>430.892060830682</v>
      </c>
      <c r="K194">
        <f>K193+E$4*K193*(1-K193/E$5)</f>
        <v>1917.4008182894</v>
      </c>
    </row>
    <row r="195" spans="7:11">
      <c r="G195">
        <f t="shared" si="20"/>
        <v>191</v>
      </c>
      <c r="H195">
        <f>H194+B$4*H194*(1-H194/B$5)</f>
        <v>1010.84092078694</v>
      </c>
      <c r="I195">
        <f>I194+C$4*I194*(1-I194/C$5)</f>
        <v>170.577887199409</v>
      </c>
      <c r="J195">
        <f>J194+D$4*J194*(1-J194/D$5)</f>
        <v>436.420102308591</v>
      </c>
      <c r="K195">
        <f>K194+E$4*K194*(1-K194/E$5)</f>
        <v>1926.02125309808</v>
      </c>
    </row>
    <row r="196" spans="7:11">
      <c r="G196">
        <f t="shared" si="20"/>
        <v>192</v>
      </c>
      <c r="H196">
        <f>H195+B$4*H195*(1-H195/B$5)</f>
        <v>1021.9202859297</v>
      </c>
      <c r="I196">
        <f>I195+C$4*I195*(1-I195/C$5)</f>
        <v>172.333853689788</v>
      </c>
      <c r="J196">
        <f>J195+D$4*J195*(1-J195/D$5)</f>
        <v>441.990114081757</v>
      </c>
      <c r="K196">
        <f>K195+E$4*K195*(1-K195/E$5)</f>
        <v>1934.41630361175</v>
      </c>
    </row>
    <row r="197" spans="7:11">
      <c r="G197">
        <f t="shared" ref="G197:G203" si="21">G196+1</f>
        <v>193</v>
      </c>
      <c r="H197">
        <f>H196+B$4*H196*(1-H196/B$5)</f>
        <v>1032.96383376135</v>
      </c>
      <c r="I197">
        <f>I196+C$4*I196*(1-I196/C$5)</f>
        <v>174.104870362789</v>
      </c>
      <c r="J197">
        <f>J196+D$4*J196*(1-J196/D$5)</f>
        <v>447.601673003877</v>
      </c>
      <c r="K197">
        <f>K196+E$4*K196*(1-K196/E$5)</f>
        <v>1942.58959003417</v>
      </c>
    </row>
    <row r="198" spans="7:11">
      <c r="G198">
        <f t="shared" si="21"/>
        <v>194</v>
      </c>
      <c r="H198">
        <f>H197+B$4*H197*(1-H197/B$5)</f>
        <v>1043.96828680179</v>
      </c>
      <c r="I198">
        <f>I197+C$4*I197*(1-I197/C$5)</f>
        <v>175.891003748302</v>
      </c>
      <c r="J198">
        <f>J197+D$4*J197*(1-J197/D$5)</f>
        <v>453.254336025836</v>
      </c>
      <c r="K198">
        <f>K197+E$4*K197*(1-K197/E$5)</f>
        <v>1950.54481612363</v>
      </c>
    </row>
    <row r="199" spans="7:11">
      <c r="G199">
        <f t="shared" si="21"/>
        <v>195</v>
      </c>
      <c r="H199">
        <f>H198+B$4*H198*(1-H198/B$5)</f>
        <v>1054.93041364061</v>
      </c>
      <c r="I199">
        <f>I198+C$4*I198*(1-I198/C$5)</f>
        <v>177.692319341286</v>
      </c>
      <c r="J199">
        <f>J198+D$4*J198*(1-J198/D$5)</f>
        <v>458.947640156787</v>
      </c>
      <c r="K199">
        <f>K198+E$4*K198*(1-K198/E$5)</f>
        <v>1958.2857584199</v>
      </c>
    </row>
    <row r="200" spans="7:11">
      <c r="G200">
        <f t="shared" si="21"/>
        <v>196</v>
      </c>
      <c r="H200">
        <f>H199+B$4*H199*(1-H199/B$5)</f>
        <v>1065.84703262574</v>
      </c>
      <c r="I200">
        <f>I199+C$4*I199*(1-I199/C$5)</f>
        <v>179.508881569853</v>
      </c>
      <c r="J200">
        <f>J199+D$4*J199*(1-J199/D$5)</f>
        <v>464.681102442743</v>
      </c>
      <c r="K200">
        <f>K199+E$4*K199*(1-K199/E$5)</f>
        <v>1965.81625591593</v>
      </c>
    </row>
    <row r="201" spans="7:11">
      <c r="G201">
        <f t="shared" si="21"/>
        <v>197</v>
      </c>
      <c r="H201">
        <f>H200+B$4*H200*(1-H200/B$5)</f>
        <v>1076.71501542809</v>
      </c>
      <c r="I201">
        <f>I200+C$4*I200*(1-I200/C$5)</f>
        <v>181.340753763066</v>
      </c>
      <c r="J201">
        <f>J200+D$4*J200*(1-J200/D$5)</f>
        <v>470.454219963104</v>
      </c>
      <c r="K201">
        <f>K200+E$4*K200*(1-K200/E$5)</f>
        <v>1973.14020018171</v>
      </c>
    </row>
    <row r="202" spans="7:11">
      <c r="G202">
        <f t="shared" si="21"/>
        <v>198</v>
      </c>
      <c r="H202">
        <f>H201+B$4*H201*(1-H201/B$5)</f>
        <v>1087.53129047423</v>
      </c>
      <c r="I202">
        <f>I201+C$4*I201*(1-I201/C$5)</f>
        <v>183.18799811847</v>
      </c>
      <c r="J202">
        <f>J201+D$4*J201*(1-J201/D$5)</f>
        <v>476.266469845466</v>
      </c>
      <c r="K202">
        <f>K201+E$4*K201*(1-K201/E$5)</f>
        <v>1980.26152594486</v>
      </c>
    </row>
    <row r="203" spans="7:11">
      <c r="G203">
        <f t="shared" si="21"/>
        <v>199</v>
      </c>
      <c r="H203">
        <f>H202+B$4*H202*(1-H202/B$5)</f>
        <v>1098.29284623942</v>
      </c>
      <c r="I203">
        <f>I202+C$4*I202*(1-I202/C$5)</f>
        <v>185.050675669345</v>
      </c>
      <c r="J203">
        <f>J202+D$4*J202*(1-J202/D$5)</f>
        <v>482.117309299096</v>
      </c>
      <c r="K203">
        <f>K202+E$4*K202*(1-K202/E$5)</f>
        <v>1987.18420213029</v>
      </c>
    </row>
  </sheetData>
  <mergeCells count="1">
    <mergeCell ref="A14:E1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说明与总览</vt:lpstr>
      <vt:lpstr>①人口-Logistic</vt:lpstr>
      <vt:lpstr>②食物链-LotkaVolterra</vt:lpstr>
      <vt:lpstr>③疾病-SIR</vt:lpstr>
      <vt:lpstr>④种族对比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Terry</cp:lastModifiedBy>
  <dcterms:created xsi:type="dcterms:W3CDTF">2026-06-05T15:33:00Z</dcterms:created>
  <dcterms:modified xsi:type="dcterms:W3CDTF">2026-06-05T15:37:07Z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F5590F1705B764486D7C226AECA36232_42</vt:lpwstr>
  </property>
  <property fmtid="{D5CDD505-2E9C-101B-9397-08002B2CF9AE}" pid="3" name="KSOProductBuildVer">
    <vt:lpwstr>2052-12.1.22553.22553</vt:lpwstr>
  </property>
</Properties>
</file>